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13_ncr:1_{DA06739A-57A6-4A51-B6E1-31F443E459C6}" xr6:coauthVersionLast="47" xr6:coauthVersionMax="47" xr10:uidLastSave="{00000000-0000-0000-0000-000000000000}"/>
  <bookViews>
    <workbookView xWindow="-110" yWindow="-110" windowWidth="19420" windowHeight="10300" activeTab="2" xr2:uid="{00000000-000D-0000-FFFF-FFFF00000000}"/>
  </bookViews>
  <sheets>
    <sheet name="Table 1" sheetId="1" r:id="rId1"/>
    <sheet name="Sheet3" sheetId="4" r:id="rId2"/>
    <sheet name="Sheet1" sheetId="6" r:id="rId3"/>
  </sheets>
  <definedNames>
    <definedName name="_xlnm.Print_Area" localSheetId="1">Sheet3!$C$1:$K$44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7" i="6" l="1"/>
  <c r="H23" i="6"/>
  <c r="J23" i="6" s="1"/>
  <c r="H25" i="6"/>
  <c r="J25" i="6" s="1"/>
  <c r="H27" i="6"/>
  <c r="J27" i="6" s="1"/>
  <c r="H29" i="6"/>
  <c r="J29" i="6" s="1"/>
  <c r="H31" i="6"/>
  <c r="K31" i="6" s="1"/>
  <c r="H33" i="6"/>
  <c r="K33" i="6" s="1"/>
  <c r="H35" i="6"/>
  <c r="K35" i="6" s="1"/>
  <c r="H37" i="6"/>
  <c r="J37" i="6" s="1"/>
  <c r="H39" i="6"/>
  <c r="K39" i="6" s="1"/>
  <c r="H41" i="6"/>
  <c r="J41" i="6" s="1"/>
  <c r="H43" i="6"/>
  <c r="K43" i="6" s="1"/>
  <c r="H45" i="6"/>
  <c r="K45" i="6" s="1"/>
  <c r="H47" i="6"/>
  <c r="H21" i="6"/>
  <c r="J24" i="4"/>
  <c r="J25" i="4"/>
  <c r="J26" i="4"/>
  <c r="J27" i="4"/>
  <c r="J28" i="4"/>
  <c r="J29" i="4"/>
  <c r="J30" i="4"/>
  <c r="J31" i="4"/>
  <c r="J32" i="4"/>
  <c r="J33" i="4"/>
  <c r="J34" i="4"/>
  <c r="J35" i="4"/>
  <c r="J36" i="4"/>
  <c r="J37" i="4"/>
  <c r="J38" i="4"/>
  <c r="J39" i="4"/>
  <c r="J40" i="4"/>
  <c r="I24" i="4"/>
  <c r="I25" i="4"/>
  <c r="I26" i="4"/>
  <c r="K26" i="4" s="1"/>
  <c r="I27" i="4"/>
  <c r="K27" i="4" s="1"/>
  <c r="I28" i="4"/>
  <c r="K28" i="4" s="1"/>
  <c r="I29" i="4"/>
  <c r="I30" i="4"/>
  <c r="I31" i="4"/>
  <c r="I32" i="4"/>
  <c r="I33" i="4"/>
  <c r="K33" i="4" s="1"/>
  <c r="I34" i="4"/>
  <c r="K34" i="4" s="1"/>
  <c r="I35" i="4"/>
  <c r="K35" i="4" s="1"/>
  <c r="I36" i="4"/>
  <c r="K36" i="4" s="1"/>
  <c r="I37" i="4"/>
  <c r="K37" i="4" s="1"/>
  <c r="I38" i="4"/>
  <c r="I39" i="4"/>
  <c r="I40" i="4"/>
  <c r="J23" i="4"/>
  <c r="I23" i="4"/>
  <c r="K27" i="6" l="1"/>
  <c r="L27" i="6" s="1"/>
  <c r="J39" i="6"/>
  <c r="L39" i="6" s="1"/>
  <c r="K29" i="6"/>
  <c r="L29" i="6" s="1"/>
  <c r="K23" i="6"/>
  <c r="L23" i="6" s="1"/>
  <c r="J33" i="6"/>
  <c r="L33" i="6" s="1"/>
  <c r="J31" i="6"/>
  <c r="L31" i="6" s="1"/>
  <c r="K41" i="6"/>
  <c r="L41" i="6" s="1"/>
  <c r="K25" i="6"/>
  <c r="L25" i="6" s="1"/>
  <c r="J45" i="6"/>
  <c r="L45" i="6" s="1"/>
  <c r="K37" i="6"/>
  <c r="H48" i="6"/>
  <c r="B51" i="6" s="1"/>
  <c r="J43" i="6"/>
  <c r="L43" i="6" s="1"/>
  <c r="J35" i="6"/>
  <c r="L35" i="6" s="1"/>
  <c r="J21" i="6"/>
  <c r="K21" i="6"/>
  <c r="J47" i="6"/>
  <c r="K47" i="6"/>
  <c r="H41" i="4"/>
  <c r="D44" i="4" s="1"/>
  <c r="K29" i="4"/>
  <c r="K40" i="4"/>
  <c r="K32" i="4"/>
  <c r="K24" i="4"/>
  <c r="K25" i="4"/>
  <c r="K38" i="4"/>
  <c r="K39" i="4"/>
  <c r="K31" i="4"/>
  <c r="K30" i="4"/>
  <c r="I41" i="4"/>
  <c r="F44" i="4" s="1"/>
  <c r="L21" i="6" l="1"/>
  <c r="K48" i="6"/>
  <c r="E51" i="6" s="1"/>
  <c r="B50" i="6"/>
  <c r="L47" i="6"/>
  <c r="L48" i="6" s="1"/>
  <c r="G49" i="6" s="1"/>
  <c r="J48" i="6"/>
  <c r="E50" i="6" s="1"/>
  <c r="D43" i="4"/>
  <c r="K23" i="4"/>
  <c r="K41" i="4" l="1"/>
  <c r="K44" i="4" s="1"/>
  <c r="J41" i="4"/>
  <c r="F43" i="4" s="1"/>
</calcChain>
</file>

<file path=xl/sharedStrings.xml><?xml version="1.0" encoding="utf-8"?>
<sst xmlns="http://schemas.openxmlformats.org/spreadsheetml/2006/main" count="72" uniqueCount="41">
  <si>
    <r>
      <rPr>
        <b/>
        <sz val="8"/>
        <rFont val="Arial"/>
        <family val="2"/>
      </rPr>
      <t>Bill To</t>
    </r>
  </si>
  <si>
    <r>
      <rPr>
        <b/>
        <sz val="8"/>
        <rFont val="Arial"/>
        <family val="2"/>
      </rPr>
      <t>Transportation Details</t>
    </r>
  </si>
  <si>
    <r>
      <rPr>
        <sz val="7.5"/>
        <rFont val="Trebuchet MS"/>
        <family val="2"/>
      </rPr>
      <t>DC DATE:</t>
    </r>
  </si>
  <si>
    <t>PO NO:</t>
  </si>
  <si>
    <t xml:space="preserve">        Place of Supply: 29-Karnataka</t>
  </si>
  <si>
    <t>CGST</t>
  </si>
  <si>
    <r>
      <rPr>
        <b/>
        <sz val="13.5"/>
        <rFont val="Arial"/>
        <family val="2"/>
      </rPr>
      <t xml:space="preserve">SRI MUNESHWARA FABRICATION
</t>
    </r>
    <r>
      <rPr>
        <sz val="7"/>
        <rFont val="Trebuchet MS"/>
        <family val="2"/>
      </rPr>
      <t xml:space="preserve">No 7 and 26,Byrappa Building,Behind Maruthi Theatre,Kasturi Badhavane,RajagopalNagar,Peenya 2nd Stage Bengaluru  Phone no 9036999522,9113282436 Email: srimuneshwarafabrication@gmail.com
</t>
    </r>
    <r>
      <rPr>
        <b/>
        <sz val="8"/>
        <rFont val="Trebuchet MS"/>
        <family val="2"/>
      </rPr>
      <t>GSTIN: 29BAAPM2306N1ZM</t>
    </r>
    <r>
      <rPr>
        <sz val="7"/>
        <rFont val="Trebuchet MS"/>
        <family val="2"/>
      </rPr>
      <t>, State: 29-Karnataka</t>
    </r>
  </si>
  <si>
    <t xml:space="preserve">   Invoice</t>
  </si>
  <si>
    <r>
      <rPr>
        <b/>
        <sz val="11"/>
        <rFont val="Arial"/>
        <family val="2"/>
      </rPr>
      <t xml:space="preserve">Tax Invoice                                                </t>
    </r>
    <r>
      <rPr>
        <vertAlign val="superscript"/>
        <sz val="11"/>
        <color rgb="FF6F738E"/>
        <rFont val="Trebuchet MS"/>
        <family val="2"/>
      </rPr>
      <t>ORIGINAL</t>
    </r>
  </si>
  <si>
    <t>Invoice No.:07</t>
  </si>
  <si>
    <t xml:space="preserve">      Date:29-06-2026</t>
  </si>
  <si>
    <t xml:space="preserve">S.M. TOOLS
#21. 1ST Cross KHBCS Layout Near 
Rajagopalanagar Police Station, Peenya 
3rd Phase,Bengaluru -560058 
GSTIN: 29AMWPG7800J1ZH, State: 29-
Karnatak </t>
  </si>
  <si>
    <t>SL no</t>
  </si>
  <si>
    <t>Item Name</t>
  </si>
  <si>
    <t>Quantity</t>
  </si>
  <si>
    <t>Units</t>
  </si>
  <si>
    <t>price/unit</t>
  </si>
  <si>
    <t>Taxable</t>
  </si>
  <si>
    <t>Taxable amount</t>
  </si>
  <si>
    <t>SGST</t>
  </si>
  <si>
    <t>Amount</t>
  </si>
  <si>
    <t>DC NO:</t>
  </si>
  <si>
    <t>Sl No</t>
  </si>
  <si>
    <t>Total</t>
  </si>
  <si>
    <t>Tax type</t>
  </si>
  <si>
    <t>Rate</t>
  </si>
  <si>
    <t>Tax Amount</t>
  </si>
  <si>
    <t>sub Total</t>
  </si>
  <si>
    <t>hajjbssbmcs</t>
  </si>
  <si>
    <r>
      <rPr>
        <b/>
        <sz val="18"/>
        <color rgb="FF000000"/>
        <rFont val="Times New Roman"/>
        <family val="1"/>
      </rPr>
      <t>SRI MUNESHWARA FABRICATION</t>
    </r>
    <r>
      <rPr>
        <sz val="10"/>
        <color rgb="FF000000"/>
        <rFont val="Times New Roman"/>
        <charset val="204"/>
      </rPr>
      <t xml:space="preserve">
No 7 and 26,Byrappa Building,Behind Maruthi Theatre,Kasturi Badhavane,RajagopalNagar,Peenya 2nd Stage Bengaluru  Phone no: 9036999522,9113282436, Email: srimuneshwarafabrication@gmail.com
</t>
    </r>
    <r>
      <rPr>
        <b/>
        <sz val="10"/>
        <color rgb="FF000000"/>
        <rFont val="Times New Roman"/>
        <family val="1"/>
      </rPr>
      <t>GSTIN: 29BAAPM2306N1ZM</t>
    </r>
    <r>
      <rPr>
        <sz val="10"/>
        <color rgb="FF000000"/>
        <rFont val="Times New Roman"/>
        <charset val="204"/>
      </rPr>
      <t>, State: 29-Karnataka</t>
    </r>
  </si>
  <si>
    <t>BILL TO</t>
  </si>
  <si>
    <t>Transportation Details</t>
  </si>
  <si>
    <t>Invoice No : 
Date :
Place of Supply: 29-Karnataka</t>
  </si>
  <si>
    <t>DC NO :
DC Date :
PO NO :</t>
  </si>
  <si>
    <t>SL NO</t>
  </si>
  <si>
    <t xml:space="preserve">Tax Type   </t>
  </si>
  <si>
    <t xml:space="preserve">Amount </t>
  </si>
  <si>
    <t>Invoice Amount In Words</t>
  </si>
  <si>
    <r>
      <t xml:space="preserve">                                                               Tax Invoice                                               </t>
    </r>
    <r>
      <rPr>
        <sz val="8"/>
        <color rgb="FF000000"/>
        <rFont val="Times New Roman"/>
        <family val="1"/>
      </rPr>
      <t xml:space="preserve">ORIGINAL   </t>
    </r>
  </si>
  <si>
    <t>Company Stamp and Authorised Signatory</t>
  </si>
  <si>
    <r>
      <rPr>
        <b/>
        <sz val="10"/>
        <color rgb="FF000000"/>
        <rFont val="Times New Roman"/>
        <family val="1"/>
      </rPr>
      <t>Terms &amp; Conditions</t>
    </r>
    <r>
      <rPr>
        <sz val="10"/>
        <color rgb="FF000000"/>
        <rFont val="Times New Roman"/>
        <charset val="204"/>
      </rPr>
      <t xml:space="preserve">
</t>
    </r>
    <r>
      <rPr>
        <sz val="9"/>
        <color rgb="FF000000"/>
        <rFont val="Times New Roman"/>
        <family val="1"/>
      </rPr>
      <t>1.Goods/services once ordered cannot be cancelled without confirmation.
2.Payment is due as per the agreed terms.
3.Taxes are charged as applicable under GST.                                                                                4.Bill must be completed within the agreed time period</t>
    </r>
    <r>
      <rPr>
        <sz val="10"/>
        <color rgb="FF000000"/>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</si>
</sst>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23" x14ac:knownFonts="1">
    <font>
      <sz val="10"/>
      <color rgb="FF000000"/>
      <name val="Times New Roman"/>
      <charset val="204"/>
    </font>
    <font>
      <b/>
      <sz val="8"/>
      <name val="Arial"/>
    </font>
    <font>
      <sz val="7.5"/>
      <name val="Trebuchet MS"/>
    </font>
    <font>
      <b/>
      <sz val="11"/>
      <name val="Arial"/>
      <family val="2"/>
    </font>
    <font>
      <vertAlign val="superscript"/>
      <sz val="11"/>
      <color rgb="FF6F738E"/>
      <name val="Trebuchet MS"/>
      <family val="2"/>
    </font>
    <font>
      <b/>
      <sz val="13.5"/>
      <name val="Arial"/>
      <family val="2"/>
    </font>
    <font>
      <sz val="7"/>
      <name val="Trebuchet MS"/>
      <family val="2"/>
    </font>
    <font>
      <b/>
      <sz val="8"/>
      <name val="Arial"/>
      <family val="2"/>
    </font>
    <font>
      <sz val="7.5"/>
      <name val="Trebuchet MS"/>
      <family val="2"/>
    </font>
    <font>
      <sz val="10"/>
      <color rgb="FF000000"/>
      <name val="Times New Roman"/>
      <family val="1"/>
    </font>
    <font>
      <b/>
      <sz val="8"/>
      <name val="Trebuchet MS"/>
      <family val="2"/>
    </font>
    <font>
      <b/>
      <sz val="10"/>
      <color rgb="FF000000"/>
      <name val="Times New Roman"/>
      <family val="1"/>
    </font>
    <font>
      <sz val="10"/>
      <name val="Times New Roman"/>
      <family val="2"/>
      <charset val="204"/>
    </font>
    <font>
      <sz val="11"/>
      <color rgb="FF000000"/>
      <name val="Times New Roman"/>
      <family val="2"/>
      <charset val="204"/>
    </font>
    <font>
      <b/>
      <sz val="11"/>
      <name val="Trebuchet MS"/>
      <family val="2"/>
    </font>
    <font>
      <b/>
      <sz val="11"/>
      <color rgb="FF000000"/>
      <name val="Times New Roman"/>
      <family val="1"/>
    </font>
    <font>
      <sz val="11"/>
      <color rgb="FF000000"/>
      <name val="Times New Roman"/>
      <family val="1"/>
    </font>
    <font>
      <sz val="10"/>
      <color rgb="FF000000"/>
      <name val="Times New Roman"/>
      <charset val="204"/>
    </font>
    <font>
      <sz val="9"/>
      <color rgb="FF000000"/>
      <name val="Times New Roman"/>
      <family val="1"/>
    </font>
    <font>
      <sz val="12"/>
      <color rgb="FF000000"/>
      <name val="Times New Roman"/>
      <family val="1"/>
    </font>
    <font>
      <sz val="18"/>
      <color rgb="FF000000"/>
      <name val="Times New Roman"/>
      <family val="1"/>
    </font>
    <font>
      <b/>
      <sz val="18"/>
      <color rgb="FF000000"/>
      <name val="Times New Roman"/>
      <family val="1"/>
    </font>
    <font>
      <sz val="8"/>
      <color rgb="FF000000"/>
      <name val="Times New Roman"/>
      <family val="1"/>
    </font>
  </fonts>
  <fills count="2">
    <fill>
      <patternFill patternType="none"/>
    </fill>
    <fill>
      <patternFill patternType="gray125"/>
    </fill>
  </fills>
  <borders count="34">
    <border>
      <left/>
      <right/>
      <top/>
      <bottom/>
      <diagonal/>
    </border>
    <border>
      <left/>
      <right/>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top style="thin">
        <color rgb="FF808080"/>
      </top>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style="thin">
        <color rgb="FF808080"/>
      </right>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s>
  <cellStyleXfs count="2">
    <xf numFmtId="0" fontId="0" fillId="0" borderId="0"/>
    <xf numFmtId="44" fontId="17" fillId="0" borderId="0" applyFont="0" applyFill="0" applyBorder="0" applyAlignment="0" applyProtection="0"/>
  </cellStyleXfs>
  <cellXfs count="144">
    <xf numFmtId="0" fontId="0" fillId="0" borderId="0" xfId="0" applyAlignment="1">
      <alignment horizontal="left" vertical="top"/>
    </xf>
    <xf numFmtId="0" fontId="0" fillId="0" borderId="6" xfId="0" applyBorder="1" applyAlignment="1">
      <alignment horizontal="left" wrapText="1"/>
    </xf>
    <xf numFmtId="0" fontId="0" fillId="0" borderId="7" xfId="0" applyBorder="1" applyAlignment="1">
      <alignment horizontal="left" wrapText="1"/>
    </xf>
    <xf numFmtId="0" fontId="0" fillId="0" borderId="5" xfId="0" applyBorder="1" applyAlignment="1">
      <alignment horizontal="left" wrapText="1"/>
    </xf>
    <xf numFmtId="0" fontId="2" fillId="0" borderId="8" xfId="0" applyFont="1" applyBorder="1" applyAlignment="1">
      <alignment horizontal="left" vertical="top" wrapText="1"/>
    </xf>
    <xf numFmtId="0" fontId="0" fillId="0" borderId="0" xfId="0" applyAlignment="1">
      <alignment horizontal="left" wrapText="1"/>
    </xf>
    <xf numFmtId="0" fontId="0" fillId="0" borderId="9" xfId="0" applyBorder="1" applyAlignment="1">
      <alignment horizontal="left" wrapText="1"/>
    </xf>
    <xf numFmtId="0" fontId="0" fillId="0" borderId="8" xfId="0" applyBorder="1" applyAlignment="1">
      <alignment horizontal="left" wrapText="1"/>
    </xf>
    <xf numFmtId="0" fontId="0" fillId="0" borderId="1" xfId="0" applyBorder="1" applyAlignment="1">
      <alignment horizontal="left" vertical="top" wrapText="1"/>
    </xf>
    <xf numFmtId="0" fontId="0" fillId="0" borderId="11" xfId="0" applyBorder="1" applyAlignment="1">
      <alignment horizontal="left" vertical="top" wrapText="1"/>
    </xf>
    <xf numFmtId="0" fontId="8" fillId="0" borderId="10" xfId="0" applyFont="1" applyBorder="1" applyAlignment="1">
      <alignment horizontal="left" vertical="top" wrapText="1"/>
    </xf>
    <xf numFmtId="0" fontId="11" fillId="0" borderId="0" xfId="0" applyFont="1" applyAlignment="1">
      <alignment horizontal="left" vertical="top"/>
    </xf>
    <xf numFmtId="0" fontId="0" fillId="0" borderId="0" xfId="0" applyAlignment="1">
      <alignment horizontal="center" vertical="top"/>
    </xf>
    <xf numFmtId="0" fontId="9" fillId="0" borderId="0" xfId="0" applyFont="1" applyAlignment="1">
      <alignment horizontal="left" vertical="top"/>
    </xf>
    <xf numFmtId="0" fontId="11" fillId="0" borderId="0" xfId="0" applyFont="1" applyAlignment="1">
      <alignment horizontal="center" vertical="top"/>
    </xf>
    <xf numFmtId="0" fontId="8" fillId="0" borderId="5" xfId="0" applyFont="1" applyBorder="1" applyAlignment="1">
      <alignment horizontal="left" vertical="top" wrapText="1"/>
    </xf>
    <xf numFmtId="0" fontId="16" fillId="0" borderId="0" xfId="0" applyFont="1" applyAlignment="1">
      <alignment horizontal="left" vertical="top"/>
    </xf>
    <xf numFmtId="10" fontId="16" fillId="0" borderId="0" xfId="0" applyNumberFormat="1" applyFont="1" applyAlignment="1">
      <alignment horizontal="left" vertical="top"/>
    </xf>
    <xf numFmtId="8" fontId="0" fillId="0" borderId="0" xfId="0" applyNumberFormat="1" applyAlignment="1">
      <alignment horizontal="left" vertical="top"/>
    </xf>
    <xf numFmtId="0" fontId="16" fillId="0" borderId="12" xfId="0" applyFont="1" applyBorder="1" applyAlignment="1">
      <alignment horizontal="center" vertical="top"/>
    </xf>
    <xf numFmtId="0" fontId="16" fillId="0" borderId="12" xfId="0" applyFont="1" applyBorder="1" applyAlignment="1">
      <alignment horizontal="left" vertical="top"/>
    </xf>
    <xf numFmtId="0" fontId="15" fillId="0" borderId="12" xfId="0" applyFont="1" applyBorder="1" applyAlignment="1">
      <alignment horizontal="left" vertical="top"/>
    </xf>
    <xf numFmtId="0" fontId="15" fillId="0" borderId="12" xfId="0" applyFont="1" applyBorder="1" applyAlignment="1">
      <alignment horizontal="center" vertical="top"/>
    </xf>
    <xf numFmtId="0" fontId="15" fillId="0" borderId="15" xfId="0" applyFont="1" applyBorder="1" applyAlignment="1">
      <alignment horizontal="center" vertical="top"/>
    </xf>
    <xf numFmtId="0" fontId="16" fillId="0" borderId="16" xfId="0" applyFont="1" applyBorder="1" applyAlignment="1">
      <alignment horizontal="center" vertical="top"/>
    </xf>
    <xf numFmtId="0" fontId="16" fillId="0" borderId="17" xfId="0" applyFont="1" applyBorder="1" applyAlignment="1">
      <alignment horizontal="center" vertical="top"/>
    </xf>
    <xf numFmtId="0" fontId="16" fillId="0" borderId="17" xfId="0" applyFont="1" applyBorder="1" applyAlignment="1">
      <alignment horizontal="left" vertical="top"/>
    </xf>
    <xf numFmtId="0" fontId="16" fillId="0" borderId="18" xfId="0" applyFont="1" applyBorder="1" applyAlignment="1">
      <alignment horizontal="center" vertical="top"/>
    </xf>
    <xf numFmtId="0" fontId="16" fillId="0" borderId="19" xfId="0" applyFont="1" applyBorder="1" applyAlignment="1">
      <alignment horizontal="left" vertical="top"/>
    </xf>
    <xf numFmtId="0" fontId="15" fillId="0" borderId="21" xfId="0" applyFont="1" applyBorder="1" applyAlignment="1">
      <alignment horizontal="center" vertical="top"/>
    </xf>
    <xf numFmtId="0" fontId="15" fillId="0" borderId="22" xfId="0" applyFont="1" applyBorder="1" applyAlignment="1">
      <alignment horizontal="center" vertical="top"/>
    </xf>
    <xf numFmtId="0" fontId="16" fillId="0" borderId="23" xfId="0" applyFont="1" applyBorder="1" applyAlignment="1">
      <alignment horizontal="left" vertical="top"/>
    </xf>
    <xf numFmtId="0" fontId="16" fillId="0" borderId="24" xfId="0" applyFont="1" applyBorder="1" applyAlignment="1">
      <alignment horizontal="left" vertical="top"/>
    </xf>
    <xf numFmtId="0" fontId="16" fillId="0" borderId="23" xfId="0" applyFont="1" applyBorder="1" applyAlignment="1">
      <alignment horizontal="center" vertical="top"/>
    </xf>
    <xf numFmtId="0" fontId="16" fillId="0" borderId="24" xfId="0" applyFont="1" applyBorder="1" applyAlignment="1">
      <alignment horizontal="center" vertical="top"/>
    </xf>
    <xf numFmtId="0" fontId="15" fillId="0" borderId="0" xfId="0" applyFont="1" applyAlignment="1">
      <alignment horizontal="left" vertical="top"/>
    </xf>
    <xf numFmtId="0" fontId="16" fillId="0" borderId="0" xfId="1" applyNumberFormat="1" applyFont="1" applyBorder="1" applyAlignment="1">
      <alignment horizontal="left" vertical="top"/>
    </xf>
    <xf numFmtId="2" fontId="16" fillId="0" borderId="0" xfId="0" applyNumberFormat="1" applyFont="1" applyAlignment="1">
      <alignment horizontal="left" vertical="top"/>
    </xf>
    <xf numFmtId="0" fontId="16" fillId="0" borderId="14" xfId="0" applyFont="1" applyBorder="1" applyAlignment="1">
      <alignment horizontal="left" vertical="top"/>
    </xf>
    <xf numFmtId="0" fontId="16" fillId="0" borderId="15" xfId="0" applyFont="1" applyBorder="1" applyAlignment="1">
      <alignment horizontal="left" vertical="top"/>
    </xf>
    <xf numFmtId="10" fontId="16" fillId="0" borderId="19" xfId="0" applyNumberFormat="1" applyFont="1" applyBorder="1" applyAlignment="1">
      <alignment horizontal="left" vertical="top"/>
    </xf>
    <xf numFmtId="2" fontId="16" fillId="0" borderId="19" xfId="0" applyNumberFormat="1" applyFont="1" applyBorder="1" applyAlignment="1">
      <alignment horizontal="left" vertical="top"/>
    </xf>
    <xf numFmtId="0" fontId="15" fillId="0" borderId="25" xfId="0" applyFont="1" applyBorder="1" applyAlignment="1">
      <alignment horizontal="center" vertical="top"/>
    </xf>
    <xf numFmtId="0" fontId="15" fillId="0" borderId="13" xfId="0" applyFont="1" applyBorder="1" applyAlignment="1">
      <alignment horizontal="left" vertical="top"/>
    </xf>
    <xf numFmtId="0" fontId="16" fillId="0" borderId="16" xfId="0" applyFont="1" applyBorder="1" applyAlignment="1">
      <alignment horizontal="left" vertical="top"/>
    </xf>
    <xf numFmtId="0" fontId="16" fillId="0" borderId="18" xfId="0" applyFont="1" applyBorder="1" applyAlignment="1">
      <alignment horizontal="left" vertical="top"/>
    </xf>
    <xf numFmtId="0" fontId="15" fillId="0" borderId="20" xfId="0" applyFont="1" applyBorder="1" applyAlignment="1">
      <alignment horizontal="center" vertical="top"/>
    </xf>
    <xf numFmtId="0" fontId="11" fillId="0" borderId="12" xfId="0" applyFont="1" applyBorder="1" applyAlignment="1">
      <alignment horizontal="center" vertical="top"/>
    </xf>
    <xf numFmtId="2" fontId="11" fillId="0" borderId="12" xfId="0" applyNumberFormat="1" applyFont="1" applyBorder="1" applyAlignment="1">
      <alignment horizontal="center" vertical="top"/>
    </xf>
    <xf numFmtId="0" fontId="9" fillId="0" borderId="12" xfId="0" applyFont="1" applyBorder="1" applyAlignment="1">
      <alignment horizontal="left" vertical="top"/>
    </xf>
    <xf numFmtId="0" fontId="9" fillId="0" borderId="12" xfId="0" applyFont="1" applyBorder="1" applyAlignment="1">
      <alignment vertical="top"/>
    </xf>
    <xf numFmtId="10" fontId="0" fillId="0" borderId="12" xfId="0" applyNumberFormat="1" applyBorder="1" applyAlignment="1">
      <alignment horizontal="left" vertical="top"/>
    </xf>
    <xf numFmtId="0" fontId="0" fillId="0" borderId="12" xfId="0" applyBorder="1" applyAlignment="1">
      <alignment horizontal="left" vertical="top"/>
    </xf>
    <xf numFmtId="0" fontId="9" fillId="0" borderId="26" xfId="0" applyFont="1" applyBorder="1" applyAlignment="1">
      <alignment horizontal="center" vertical="top"/>
    </xf>
    <xf numFmtId="2" fontId="11" fillId="0" borderId="27" xfId="0" applyNumberFormat="1" applyFont="1" applyBorder="1" applyAlignment="1">
      <alignment horizontal="center" vertical="top"/>
    </xf>
    <xf numFmtId="0" fontId="18" fillId="0" borderId="26" xfId="0" applyFont="1" applyBorder="1" applyAlignment="1">
      <alignment horizontal="center" vertical="top"/>
    </xf>
    <xf numFmtId="0" fontId="0" fillId="0" borderId="24" xfId="0" applyBorder="1" applyAlignment="1">
      <alignment horizontal="center" vertical="top"/>
    </xf>
    <xf numFmtId="2" fontId="0" fillId="0" borderId="24" xfId="0" applyNumberFormat="1" applyBorder="1" applyAlignment="1">
      <alignment horizontal="center" vertical="top"/>
    </xf>
    <xf numFmtId="0" fontId="0" fillId="0" borderId="24" xfId="0" applyBorder="1" applyAlignment="1">
      <alignment horizontal="center" vertical="center"/>
    </xf>
    <xf numFmtId="2" fontId="0" fillId="0" borderId="23" xfId="0" applyNumberForma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23" xfId="0" applyBorder="1" applyAlignment="1">
      <alignment horizontal="center" vertical="center"/>
    </xf>
    <xf numFmtId="0" fontId="9" fillId="0" borderId="25" xfId="0" applyFont="1" applyBorder="1" applyAlignment="1">
      <alignment horizontal="center" vertical="center"/>
    </xf>
    <xf numFmtId="0" fontId="9" fillId="0" borderId="23" xfId="0" applyFont="1" applyBorder="1" applyAlignment="1">
      <alignment horizontal="center" vertical="center"/>
    </xf>
    <xf numFmtId="0" fontId="20" fillId="0" borderId="12" xfId="0" applyFont="1" applyBorder="1" applyAlignment="1">
      <alignment horizontal="center" vertical="top"/>
    </xf>
    <xf numFmtId="0" fontId="0" fillId="0" borderId="12" xfId="0" applyBorder="1" applyAlignment="1">
      <alignment horizontal="center" vertical="top"/>
    </xf>
    <xf numFmtId="0" fontId="9" fillId="0" borderId="12" xfId="0" applyFont="1" applyBorder="1" applyAlignment="1">
      <alignment horizontal="center" vertical="top" wrapText="1"/>
    </xf>
    <xf numFmtId="0" fontId="9" fillId="0" borderId="12" xfId="0" applyFont="1" applyBorder="1" applyAlignment="1">
      <alignment horizontal="center" vertical="top"/>
    </xf>
    <xf numFmtId="0" fontId="19" fillId="0" borderId="12" xfId="0" applyFont="1" applyBorder="1" applyAlignment="1">
      <alignment horizontal="left" vertical="top" wrapText="1"/>
    </xf>
    <xf numFmtId="0" fontId="9" fillId="0" borderId="12" xfId="0" applyFont="1" applyBorder="1" applyAlignment="1">
      <alignment horizontal="left" vertical="top"/>
    </xf>
    <xf numFmtId="0" fontId="11" fillId="0" borderId="12" xfId="0" applyFont="1" applyBorder="1" applyAlignment="1">
      <alignment horizontal="center" vertical="top"/>
    </xf>
    <xf numFmtId="0" fontId="0" fillId="0" borderId="12" xfId="0" applyBorder="1" applyAlignment="1">
      <alignment horizontal="left" vertical="top"/>
    </xf>
    <xf numFmtId="0" fontId="9" fillId="0" borderId="33" xfId="0" applyFont="1" applyBorder="1" applyAlignment="1">
      <alignment horizontal="left" vertical="top" wrapText="1"/>
    </xf>
    <xf numFmtId="0" fontId="0" fillId="0" borderId="31" xfId="0" applyBorder="1" applyAlignment="1">
      <alignment horizontal="left" vertical="top"/>
    </xf>
    <xf numFmtId="0" fontId="0" fillId="0" borderId="32" xfId="0" applyBorder="1" applyAlignment="1">
      <alignment horizontal="left" vertical="top"/>
    </xf>
    <xf numFmtId="0" fontId="0" fillId="0" borderId="16" xfId="0" applyBorder="1" applyAlignment="1">
      <alignment horizontal="left" vertical="top"/>
    </xf>
    <xf numFmtId="0" fontId="0" fillId="0" borderId="0" xfId="0"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20" xfId="0" applyBorder="1" applyAlignment="1">
      <alignment horizontal="left" vertical="top"/>
    </xf>
    <xf numFmtId="0" fontId="0" fillId="0" borderId="16" xfId="0" applyBorder="1" applyAlignment="1">
      <alignment vertical="center"/>
    </xf>
    <xf numFmtId="0" fontId="0" fillId="0" borderId="0" xfId="0" applyAlignment="1">
      <alignment vertical="center"/>
    </xf>
    <xf numFmtId="0" fontId="0" fillId="0" borderId="17" xfId="0" applyBorder="1" applyAlignment="1">
      <alignment vertical="center"/>
    </xf>
    <xf numFmtId="0" fontId="9" fillId="0" borderId="13" xfId="0" applyFont="1" applyBorder="1" applyAlignment="1">
      <alignment horizontal="right" indent="8"/>
    </xf>
    <xf numFmtId="0" fontId="0" fillId="0" borderId="14" xfId="0" applyBorder="1" applyAlignment="1">
      <alignment horizontal="right" indent="8"/>
    </xf>
    <xf numFmtId="0" fontId="0" fillId="0" borderId="15" xfId="0" applyBorder="1" applyAlignment="1">
      <alignment horizontal="right" indent="8"/>
    </xf>
    <xf numFmtId="0" fontId="0" fillId="0" borderId="16" xfId="0" applyBorder="1" applyAlignment="1">
      <alignment horizontal="right" indent="8"/>
    </xf>
    <xf numFmtId="0" fontId="0" fillId="0" borderId="0" xfId="0" applyAlignment="1">
      <alignment horizontal="right" indent="8"/>
    </xf>
    <xf numFmtId="0" fontId="0" fillId="0" borderId="17" xfId="0" applyBorder="1" applyAlignment="1">
      <alignment horizontal="right" indent="8"/>
    </xf>
    <xf numFmtId="0" fontId="0" fillId="0" borderId="18" xfId="0" applyBorder="1" applyAlignment="1">
      <alignment horizontal="right" indent="8"/>
    </xf>
    <xf numFmtId="0" fontId="0" fillId="0" borderId="19" xfId="0" applyBorder="1" applyAlignment="1">
      <alignment horizontal="right" indent="8"/>
    </xf>
    <xf numFmtId="0" fontId="0" fillId="0" borderId="20" xfId="0" applyBorder="1" applyAlignment="1">
      <alignment horizontal="right" indent="8"/>
    </xf>
    <xf numFmtId="2" fontId="11" fillId="0" borderId="12" xfId="0" applyNumberFormat="1" applyFont="1" applyBorder="1" applyAlignment="1">
      <alignment horizontal="left" indent="28"/>
    </xf>
    <xf numFmtId="2" fontId="11" fillId="0" borderId="27" xfId="0" applyNumberFormat="1" applyFont="1" applyBorder="1" applyAlignment="1">
      <alignment horizontal="left" indent="28"/>
    </xf>
    <xf numFmtId="0" fontId="9" fillId="0" borderId="13" xfId="0" applyFont="1" applyBorder="1" applyAlignment="1">
      <alignment vertical="center"/>
    </xf>
    <xf numFmtId="0" fontId="9" fillId="0" borderId="14" xfId="0" applyFont="1" applyBorder="1" applyAlignment="1">
      <alignment vertical="center"/>
    </xf>
    <xf numFmtId="0" fontId="9" fillId="0" borderId="15" xfId="0" applyFont="1" applyBorder="1" applyAlignment="1">
      <alignment vertical="center"/>
    </xf>
    <xf numFmtId="0" fontId="9" fillId="0" borderId="16" xfId="0" applyFont="1" applyBorder="1" applyAlignment="1">
      <alignment vertical="center"/>
    </xf>
    <xf numFmtId="0" fontId="9" fillId="0" borderId="0" xfId="0" applyFont="1" applyAlignment="1">
      <alignment vertical="center"/>
    </xf>
    <xf numFmtId="0" fontId="9" fillId="0" borderId="17" xfId="0" applyFont="1" applyBorder="1" applyAlignment="1">
      <alignment vertical="center"/>
    </xf>
    <xf numFmtId="0" fontId="0" fillId="0" borderId="25"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9" fillId="0" borderId="26" xfId="0" applyFont="1" applyBorder="1" applyAlignment="1">
      <alignment horizontal="center" vertical="top"/>
    </xf>
    <xf numFmtId="0" fontId="0" fillId="0" borderId="21" xfId="0" applyBorder="1" applyAlignment="1">
      <alignment horizontal="center" vertical="top"/>
    </xf>
    <xf numFmtId="0" fontId="0" fillId="0" borderId="26" xfId="0" applyBorder="1" applyAlignment="1">
      <alignment horizontal="center" vertical="top"/>
    </xf>
    <xf numFmtId="0" fontId="0" fillId="0" borderId="28" xfId="0" applyBorder="1" applyAlignment="1">
      <alignment horizontal="center" vertical="top"/>
    </xf>
    <xf numFmtId="0" fontId="0" fillId="0" borderId="29" xfId="0" applyBorder="1" applyAlignment="1">
      <alignment horizontal="center" vertical="top"/>
    </xf>
    <xf numFmtId="0" fontId="0" fillId="0" borderId="30" xfId="0" applyBorder="1" applyAlignment="1">
      <alignment horizontal="center" vertical="top"/>
    </xf>
    <xf numFmtId="0" fontId="0" fillId="0" borderId="18" xfId="0" applyBorder="1" applyAlignment="1">
      <alignment horizontal="center" vertical="top"/>
    </xf>
    <xf numFmtId="0" fontId="0" fillId="0" borderId="20" xfId="0" applyBorder="1" applyAlignment="1">
      <alignment horizontal="center" vertical="top"/>
    </xf>
    <xf numFmtId="2" fontId="0" fillId="0" borderId="25" xfId="0" applyNumberFormat="1" applyBorder="1" applyAlignment="1">
      <alignment horizontal="center" vertical="center"/>
    </xf>
    <xf numFmtId="0" fontId="11" fillId="0" borderId="16" xfId="0" applyFont="1" applyBorder="1" applyAlignment="1">
      <alignment vertical="center"/>
    </xf>
    <xf numFmtId="0" fontId="11" fillId="0" borderId="0" xfId="0" applyFont="1" applyAlignment="1">
      <alignment vertical="center"/>
    </xf>
    <xf numFmtId="0" fontId="11" fillId="0" borderId="17" xfId="0" applyFont="1" applyBorder="1" applyAlignment="1">
      <alignment vertical="center"/>
    </xf>
    <xf numFmtId="0" fontId="14" fillId="0" borderId="5" xfId="0" applyFont="1" applyBorder="1" applyAlignment="1">
      <alignment horizontal="left" wrapText="1"/>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2" fillId="0" borderId="0" xfId="0" applyFont="1" applyAlignment="1">
      <alignment horizontal="left" wrapText="1"/>
    </xf>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 xfId="0" applyFont="1" applyBorder="1" applyAlignment="1">
      <alignment horizontal="left" wrapText="1"/>
    </xf>
    <xf numFmtId="0" fontId="2" fillId="0" borderId="11" xfId="0" applyFont="1" applyBorder="1" applyAlignment="1">
      <alignment horizontal="left" wrapText="1"/>
    </xf>
    <xf numFmtId="0" fontId="8" fillId="0" borderId="6" xfId="0" applyFont="1" applyBorder="1" applyAlignment="1">
      <alignment horizontal="left" vertical="top" wrapText="1" indent="5"/>
    </xf>
    <xf numFmtId="0" fontId="2" fillId="0" borderId="7" xfId="0" applyFont="1" applyBorder="1" applyAlignment="1">
      <alignment horizontal="left" vertical="top" wrapText="1" indent="5"/>
    </xf>
    <xf numFmtId="0" fontId="8" fillId="0" borderId="0" xfId="0" applyFont="1" applyAlignment="1">
      <alignment horizontal="center" vertical="top" wrapText="1"/>
    </xf>
    <xf numFmtId="0" fontId="2" fillId="0" borderId="9" xfId="0" applyFont="1" applyBorder="1" applyAlignment="1">
      <alignment horizontal="center" vertical="top" wrapText="1"/>
    </xf>
    <xf numFmtId="0" fontId="8" fillId="0" borderId="10" xfId="0" applyFont="1" applyBorder="1" applyAlignment="1">
      <alignment horizontal="left" vertical="top" wrapText="1"/>
    </xf>
    <xf numFmtId="0" fontId="2" fillId="0" borderId="1" xfId="0" applyFont="1" applyBorder="1" applyAlignment="1">
      <alignment horizontal="left" vertical="top" wrapText="1"/>
    </xf>
    <xf numFmtId="0" fontId="2" fillId="0" borderId="11" xfId="0" applyFont="1" applyBorder="1" applyAlignment="1">
      <alignment horizontal="left" vertical="top" wrapText="1"/>
    </xf>
    <xf numFmtId="0" fontId="13" fillId="0" borderId="1" xfId="0" applyFont="1" applyBorder="1" applyAlignment="1">
      <alignment horizontal="center" vertical="top" wrapText="1"/>
    </xf>
    <xf numFmtId="0" fontId="0" fillId="0" borderId="1" xfId="0" applyBorder="1" applyAlignment="1">
      <alignment horizontal="center" vertical="top" wrapText="1"/>
    </xf>
    <xf numFmtId="0" fontId="12" fillId="0" borderId="2" xfId="0" applyFont="1"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7" fillId="0" borderId="2" xfId="0" applyFont="1" applyBorder="1" applyAlignment="1">
      <alignment horizontal="left" vertical="top" wrapText="1" indent="9"/>
    </xf>
    <xf numFmtId="0" fontId="1" fillId="0" borderId="3" xfId="0" applyFont="1" applyBorder="1" applyAlignment="1">
      <alignment horizontal="left" vertical="top" wrapText="1" indent="9"/>
    </xf>
    <xf numFmtId="0" fontId="1" fillId="0" borderId="4" xfId="0" applyFont="1" applyBorder="1" applyAlignment="1">
      <alignment horizontal="left" vertical="top" wrapText="1" indent="9"/>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205765</xdr:colOff>
      <xdr:row>0</xdr:row>
      <xdr:rowOff>0</xdr:rowOff>
    </xdr:from>
    <xdr:ext cx="489974" cy="381000"/>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765" y="0"/>
          <a:ext cx="489974" cy="381000"/>
        </a:xfrm>
        <a:prstGeom prst="rect">
          <a:avLst/>
        </a:prstGeom>
      </xdr:spPr>
    </xdr:pic>
    <xdr:clientData/>
  </xdr:oneCellAnchor>
  <xdr:twoCellAnchor>
    <xdr:from>
      <xdr:col>14</xdr:col>
      <xdr:colOff>184150</xdr:colOff>
      <xdr:row>4</xdr:row>
      <xdr:rowOff>19050</xdr:rowOff>
    </xdr:from>
    <xdr:to>
      <xdr:col>19</xdr:col>
      <xdr:colOff>368300</xdr:colOff>
      <xdr:row>6</xdr:row>
      <xdr:rowOff>139700</xdr:rowOff>
    </xdr:to>
    <xdr:sp macro="" textlink="">
      <xdr:nvSpPr>
        <xdr:cNvPr id="3" name="TextBox 2">
          <a:extLst>
            <a:ext uri="{FF2B5EF4-FFF2-40B4-BE49-F238E27FC236}">
              <a16:creationId xmlns:a16="http://schemas.microsoft.com/office/drawing/2014/main" id="{14C02AF4-440D-7D22-396F-FC0B126FA86F}"/>
            </a:ext>
          </a:extLst>
        </xdr:cNvPr>
        <xdr:cNvSpPr txBox="1"/>
      </xdr:nvSpPr>
      <xdr:spPr>
        <a:xfrm>
          <a:off x="9410700" y="1365250"/>
          <a:ext cx="2978150" cy="1098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82550</xdr:colOff>
      <xdr:row>6</xdr:row>
      <xdr:rowOff>82550</xdr:rowOff>
    </xdr:from>
    <xdr:ext cx="184731" cy="264560"/>
    <xdr:sp macro="" textlink="">
      <xdr:nvSpPr>
        <xdr:cNvPr id="2" name="TextBox 1">
          <a:extLst>
            <a:ext uri="{FF2B5EF4-FFF2-40B4-BE49-F238E27FC236}">
              <a16:creationId xmlns:a16="http://schemas.microsoft.com/office/drawing/2014/main" id="{FF45E7A8-3C41-6001-715C-1B9F1C4A7A79}"/>
            </a:ext>
          </a:extLst>
        </xdr:cNvPr>
        <xdr:cNvSpPr txBox="1"/>
      </xdr:nvSpPr>
      <xdr:spPr>
        <a:xfrm>
          <a:off x="1200150" y="1073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552450</xdr:colOff>
      <xdr:row>0</xdr:row>
      <xdr:rowOff>50800</xdr:rowOff>
    </xdr:from>
    <xdr:to>
      <xdr:col>10</xdr:col>
      <xdr:colOff>1023471</xdr:colOff>
      <xdr:row>4</xdr:row>
      <xdr:rowOff>7470</xdr:rowOff>
    </xdr:to>
    <xdr:sp macro="" textlink="">
      <xdr:nvSpPr>
        <xdr:cNvPr id="3" name="TextBox 2">
          <a:extLst>
            <a:ext uri="{FF2B5EF4-FFF2-40B4-BE49-F238E27FC236}">
              <a16:creationId xmlns:a16="http://schemas.microsoft.com/office/drawing/2014/main" id="{D71E1B99-B592-6F8F-EC7C-262BA122FF96}"/>
            </a:ext>
          </a:extLst>
        </xdr:cNvPr>
        <xdr:cNvSpPr txBox="1"/>
      </xdr:nvSpPr>
      <xdr:spPr>
        <a:xfrm>
          <a:off x="1112744" y="50800"/>
          <a:ext cx="9234021" cy="6140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                                                                                              Tax Invoice                                                                                      </a:t>
          </a:r>
          <a:r>
            <a:rPr lang="en-US" sz="1000">
              <a:solidFill>
                <a:schemeClr val="dk1"/>
              </a:solidFill>
              <a:effectLst/>
              <a:latin typeface="+mn-lt"/>
              <a:ea typeface="+mn-ea"/>
              <a:cs typeface="+mn-cs"/>
            </a:rPr>
            <a:t>ORIGINAL</a:t>
          </a:r>
          <a:r>
            <a:rPr lang="en-US" sz="1000" b="1"/>
            <a:t> </a:t>
          </a:r>
          <a:r>
            <a:rPr lang="en-US" sz="1200" b="1"/>
            <a:t> </a:t>
          </a:r>
          <a:r>
            <a:rPr lang="en-US" sz="1200" b="1" baseline="0"/>
            <a:t> </a:t>
          </a:r>
        </a:p>
        <a:p>
          <a:pPr algn="l"/>
          <a:endParaRPr lang="en-US" sz="1200" b="1" baseline="0"/>
        </a:p>
        <a:p>
          <a:pPr algn="l"/>
          <a:r>
            <a:rPr lang="en-US" sz="1200" b="1" baseline="0"/>
            <a:t>                                                                                                                </a:t>
          </a:r>
          <a:r>
            <a:rPr lang="en-US" sz="1200" b="1"/>
            <a:t>                                      </a:t>
          </a:r>
          <a:r>
            <a:rPr lang="en-US" sz="1200" b="1" baseline="0"/>
            <a:t>                          </a:t>
          </a:r>
          <a:endParaRPr lang="en-US" sz="1100"/>
        </a:p>
      </xdr:txBody>
    </xdr:sp>
    <xdr:clientData/>
  </xdr:twoCellAnchor>
  <xdr:oneCellAnchor>
    <xdr:from>
      <xdr:col>2</xdr:col>
      <xdr:colOff>31752</xdr:colOff>
      <xdr:row>0</xdr:row>
      <xdr:rowOff>74456</xdr:rowOff>
    </xdr:from>
    <xdr:ext cx="730248" cy="535144"/>
    <xdr:pic>
      <xdr:nvPicPr>
        <xdr:cNvPr id="4" name="image1.jpeg">
          <a:extLst>
            <a:ext uri="{FF2B5EF4-FFF2-40B4-BE49-F238E27FC236}">
              <a16:creationId xmlns:a16="http://schemas.microsoft.com/office/drawing/2014/main" id="{0B585171-D69F-4044-802B-9EA479D141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9352" y="74456"/>
          <a:ext cx="730248" cy="535144"/>
        </a:xfrm>
        <a:prstGeom prst="rect">
          <a:avLst/>
        </a:prstGeom>
      </xdr:spPr>
    </xdr:pic>
    <xdr:clientData/>
  </xdr:oneCellAnchor>
  <xdr:twoCellAnchor>
    <xdr:from>
      <xdr:col>1</xdr:col>
      <xdr:colOff>552449</xdr:colOff>
      <xdr:row>3</xdr:row>
      <xdr:rowOff>164352</xdr:rowOff>
    </xdr:from>
    <xdr:to>
      <xdr:col>10</xdr:col>
      <xdr:colOff>1023470</xdr:colOff>
      <xdr:row>9</xdr:row>
      <xdr:rowOff>149412</xdr:rowOff>
    </xdr:to>
    <xdr:sp macro="" textlink="">
      <xdr:nvSpPr>
        <xdr:cNvPr id="5" name="TextBox 4">
          <a:extLst>
            <a:ext uri="{FF2B5EF4-FFF2-40B4-BE49-F238E27FC236}">
              <a16:creationId xmlns:a16="http://schemas.microsoft.com/office/drawing/2014/main" id="{AF1704C2-F020-15D4-DCAC-DEFBFD8E6F87}"/>
            </a:ext>
          </a:extLst>
        </xdr:cNvPr>
        <xdr:cNvSpPr txBox="1"/>
      </xdr:nvSpPr>
      <xdr:spPr>
        <a:xfrm>
          <a:off x="1112743" y="657411"/>
          <a:ext cx="9234021" cy="971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100" b="1"/>
            <a:t>SRI MUNESHWARA FABRICATION</a:t>
          </a:r>
        </a:p>
        <a:p>
          <a:pPr algn="ctr"/>
          <a:r>
            <a:rPr lang="en-US" sz="1200"/>
            <a:t>No 7 and 26,Byrappa Building,Behind Maruthi Theatre,Kasturi Badhavane,RajagopalNagar,Peenya 2nd Stage Bengaluru  Phone no: 9036999522,9113282436,</a:t>
          </a:r>
          <a:r>
            <a:rPr lang="en-US" sz="1200" baseline="0"/>
            <a:t> </a:t>
          </a:r>
          <a:r>
            <a:rPr lang="en-US" sz="1200"/>
            <a:t>Email: srimuneshwarafabrication@gmail.com</a:t>
          </a:r>
        </a:p>
        <a:p>
          <a:pPr algn="ctr"/>
          <a:r>
            <a:rPr lang="en-US" sz="1100" b="1"/>
            <a:t>GSTIN: 29BAAPM2306N1ZM</a:t>
          </a:r>
          <a:r>
            <a:rPr lang="en-US" sz="1100"/>
            <a:t>, State: 29-Karnataka</a:t>
          </a:r>
        </a:p>
      </xdr:txBody>
    </xdr:sp>
    <xdr:clientData/>
  </xdr:twoCellAnchor>
  <xdr:twoCellAnchor>
    <xdr:from>
      <xdr:col>1</xdr:col>
      <xdr:colOff>552824</xdr:colOff>
      <xdr:row>9</xdr:row>
      <xdr:rowOff>149412</xdr:rowOff>
    </xdr:from>
    <xdr:to>
      <xdr:col>4</xdr:col>
      <xdr:colOff>903942</xdr:colOff>
      <xdr:row>12</xdr:row>
      <xdr:rowOff>44824</xdr:rowOff>
    </xdr:to>
    <xdr:sp macro="" textlink="">
      <xdr:nvSpPr>
        <xdr:cNvPr id="6" name="TextBox 5">
          <a:extLst>
            <a:ext uri="{FF2B5EF4-FFF2-40B4-BE49-F238E27FC236}">
              <a16:creationId xmlns:a16="http://schemas.microsoft.com/office/drawing/2014/main" id="{AAD9E101-FF30-88E8-6A3B-1F238EB49F6F}"/>
            </a:ext>
          </a:extLst>
        </xdr:cNvPr>
        <xdr:cNvSpPr txBox="1"/>
      </xdr:nvSpPr>
      <xdr:spPr>
        <a:xfrm>
          <a:off x="1113118" y="1628588"/>
          <a:ext cx="3451412" cy="3884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BILL TO</a:t>
          </a:r>
        </a:p>
      </xdr:txBody>
    </xdr:sp>
    <xdr:clientData/>
  </xdr:twoCellAnchor>
  <xdr:twoCellAnchor>
    <xdr:from>
      <xdr:col>4</xdr:col>
      <xdr:colOff>896471</xdr:colOff>
      <xdr:row>9</xdr:row>
      <xdr:rowOff>156881</xdr:rowOff>
    </xdr:from>
    <xdr:to>
      <xdr:col>8</xdr:col>
      <xdr:colOff>268941</xdr:colOff>
      <xdr:row>12</xdr:row>
      <xdr:rowOff>52293</xdr:rowOff>
    </xdr:to>
    <xdr:sp macro="" textlink="">
      <xdr:nvSpPr>
        <xdr:cNvPr id="7" name="TextBox 6">
          <a:extLst>
            <a:ext uri="{FF2B5EF4-FFF2-40B4-BE49-F238E27FC236}">
              <a16:creationId xmlns:a16="http://schemas.microsoft.com/office/drawing/2014/main" id="{3F12D17C-523D-0286-67CD-9CEDB850A9E5}"/>
            </a:ext>
          </a:extLst>
        </xdr:cNvPr>
        <xdr:cNvSpPr txBox="1"/>
      </xdr:nvSpPr>
      <xdr:spPr>
        <a:xfrm>
          <a:off x="4557059" y="1636057"/>
          <a:ext cx="3137647" cy="3884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Transportation Details</a:t>
          </a:r>
        </a:p>
      </xdr:txBody>
    </xdr:sp>
    <xdr:clientData/>
  </xdr:twoCellAnchor>
  <xdr:twoCellAnchor>
    <xdr:from>
      <xdr:col>8</xdr:col>
      <xdr:colOff>268941</xdr:colOff>
      <xdr:row>9</xdr:row>
      <xdr:rowOff>156883</xdr:rowOff>
    </xdr:from>
    <xdr:to>
      <xdr:col>11</xdr:col>
      <xdr:colOff>0</xdr:colOff>
      <xdr:row>12</xdr:row>
      <xdr:rowOff>52294</xdr:rowOff>
    </xdr:to>
    <xdr:sp macro="" textlink="">
      <xdr:nvSpPr>
        <xdr:cNvPr id="8" name="TextBox 7">
          <a:extLst>
            <a:ext uri="{FF2B5EF4-FFF2-40B4-BE49-F238E27FC236}">
              <a16:creationId xmlns:a16="http://schemas.microsoft.com/office/drawing/2014/main" id="{A7E3BF6D-137F-D4B8-DFFA-A6073F210D9B}"/>
            </a:ext>
          </a:extLst>
        </xdr:cNvPr>
        <xdr:cNvSpPr txBox="1"/>
      </xdr:nvSpPr>
      <xdr:spPr>
        <a:xfrm>
          <a:off x="7694706" y="1636059"/>
          <a:ext cx="2659529" cy="3884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Invoice</a:t>
          </a:r>
        </a:p>
      </xdr:txBody>
    </xdr:sp>
    <xdr:clientData/>
  </xdr:twoCellAnchor>
  <xdr:twoCellAnchor>
    <xdr:from>
      <xdr:col>1</xdr:col>
      <xdr:colOff>552823</xdr:colOff>
      <xdr:row>12</xdr:row>
      <xdr:rowOff>44824</xdr:rowOff>
    </xdr:from>
    <xdr:to>
      <xdr:col>4</xdr:col>
      <xdr:colOff>896471</xdr:colOff>
      <xdr:row>20</xdr:row>
      <xdr:rowOff>134470</xdr:rowOff>
    </xdr:to>
    <xdr:sp macro="" textlink="">
      <xdr:nvSpPr>
        <xdr:cNvPr id="9" name="TextBox 8">
          <a:extLst>
            <a:ext uri="{FF2B5EF4-FFF2-40B4-BE49-F238E27FC236}">
              <a16:creationId xmlns:a16="http://schemas.microsoft.com/office/drawing/2014/main" id="{44AC0515-26DF-34D8-5519-3B9647932908}"/>
            </a:ext>
          </a:extLst>
        </xdr:cNvPr>
        <xdr:cNvSpPr txBox="1"/>
      </xdr:nvSpPr>
      <xdr:spPr>
        <a:xfrm>
          <a:off x="1113117" y="2017059"/>
          <a:ext cx="3443942" cy="14044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fvv</a:t>
          </a:r>
        </a:p>
      </xdr:txBody>
    </xdr:sp>
    <xdr:clientData/>
  </xdr:twoCellAnchor>
  <xdr:twoCellAnchor>
    <xdr:from>
      <xdr:col>4</xdr:col>
      <xdr:colOff>896471</xdr:colOff>
      <xdr:row>12</xdr:row>
      <xdr:rowOff>44823</xdr:rowOff>
    </xdr:from>
    <xdr:to>
      <xdr:col>8</xdr:col>
      <xdr:colOff>276411</xdr:colOff>
      <xdr:row>20</xdr:row>
      <xdr:rowOff>134470</xdr:rowOff>
    </xdr:to>
    <xdr:sp macro="" textlink="">
      <xdr:nvSpPr>
        <xdr:cNvPr id="10" name="TextBox 9">
          <a:extLst>
            <a:ext uri="{FF2B5EF4-FFF2-40B4-BE49-F238E27FC236}">
              <a16:creationId xmlns:a16="http://schemas.microsoft.com/office/drawing/2014/main" id="{143B45B8-F48B-19B7-83F8-AB4865937313}"/>
            </a:ext>
          </a:extLst>
        </xdr:cNvPr>
        <xdr:cNvSpPr txBox="1"/>
      </xdr:nvSpPr>
      <xdr:spPr>
        <a:xfrm>
          <a:off x="4557059" y="2017058"/>
          <a:ext cx="3145117" cy="14044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DC NO</a:t>
          </a:r>
          <a:r>
            <a:rPr lang="en-US" sz="1400" baseline="0"/>
            <a:t> :</a:t>
          </a:r>
        </a:p>
        <a:p>
          <a:r>
            <a:rPr lang="en-US" sz="1400" baseline="0"/>
            <a:t>DC Date :</a:t>
          </a:r>
        </a:p>
        <a:p>
          <a:r>
            <a:rPr lang="en-US" sz="1400" baseline="0"/>
            <a:t>PO NO :</a:t>
          </a:r>
          <a:endParaRPr lang="en-US" sz="1400"/>
        </a:p>
      </xdr:txBody>
    </xdr:sp>
    <xdr:clientData/>
  </xdr:twoCellAnchor>
  <xdr:twoCellAnchor>
    <xdr:from>
      <xdr:col>8</xdr:col>
      <xdr:colOff>276412</xdr:colOff>
      <xdr:row>12</xdr:row>
      <xdr:rowOff>59765</xdr:rowOff>
    </xdr:from>
    <xdr:to>
      <xdr:col>11</xdr:col>
      <xdr:colOff>0</xdr:colOff>
      <xdr:row>20</xdr:row>
      <xdr:rowOff>127000</xdr:rowOff>
    </xdr:to>
    <xdr:sp macro="" textlink="">
      <xdr:nvSpPr>
        <xdr:cNvPr id="11" name="TextBox 10">
          <a:extLst>
            <a:ext uri="{FF2B5EF4-FFF2-40B4-BE49-F238E27FC236}">
              <a16:creationId xmlns:a16="http://schemas.microsoft.com/office/drawing/2014/main" id="{1C631FFF-637F-984F-633A-7E34ADF46560}"/>
            </a:ext>
          </a:extLst>
        </xdr:cNvPr>
        <xdr:cNvSpPr txBox="1"/>
      </xdr:nvSpPr>
      <xdr:spPr>
        <a:xfrm>
          <a:off x="7702177" y="2032000"/>
          <a:ext cx="2652058" cy="1382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t>Invoice No : </a:t>
          </a:r>
        </a:p>
        <a:p>
          <a:pPr algn="l"/>
          <a:r>
            <a:rPr lang="en-US" sz="1400"/>
            <a:t>Date</a:t>
          </a:r>
          <a:r>
            <a:rPr lang="en-US" sz="1400" baseline="0"/>
            <a:t> :</a:t>
          </a:r>
        </a:p>
        <a:p>
          <a:pPr algn="l"/>
          <a:r>
            <a:rPr lang="en-US" sz="1400" baseline="0"/>
            <a:t> Place of Supply: 29-Karnataka</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88900</xdr:colOff>
      <xdr:row>0</xdr:row>
      <xdr:rowOff>25400</xdr:rowOff>
    </xdr:from>
    <xdr:ext cx="692150" cy="460376"/>
    <xdr:pic>
      <xdr:nvPicPr>
        <xdr:cNvPr id="2" name="image1.jpeg">
          <a:extLst>
            <a:ext uri="{FF2B5EF4-FFF2-40B4-BE49-F238E27FC236}">
              <a16:creationId xmlns:a16="http://schemas.microsoft.com/office/drawing/2014/main" id="{4A6BB7FC-CD86-4906-967D-4D82C5C8A0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00" y="25400"/>
          <a:ext cx="692150" cy="460376"/>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rikrishnaeng01@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L141"/>
  <sheetViews>
    <sheetView topLeftCell="A16" zoomScaleNormal="100" workbookViewId="0">
      <selection activeCell="A2" sqref="A2:L2"/>
    </sheetView>
  </sheetViews>
  <sheetFormatPr defaultRowHeight="13" x14ac:dyDescent="0.3"/>
  <cols>
    <col min="1" max="1" width="5.296875" customWidth="1"/>
    <col min="2" max="2" width="27.19921875" customWidth="1"/>
    <col min="3" max="3" width="9.09765625" customWidth="1"/>
    <col min="4" max="4" width="9.5" customWidth="1"/>
    <col min="5" max="5" width="10.8984375" customWidth="1"/>
    <col min="6" max="6" width="15" customWidth="1"/>
    <col min="7" max="7" width="8.296875" customWidth="1"/>
    <col min="8" max="8" width="6.796875" customWidth="1"/>
    <col min="9" max="9" width="7.09765625" customWidth="1"/>
    <col min="10" max="10" width="5.296875" customWidth="1"/>
    <col min="11" max="12" width="11.59765625" customWidth="1"/>
  </cols>
  <sheetData>
    <row r="1" spans="1:12" ht="31.5" customHeight="1" x14ac:dyDescent="0.3">
      <c r="A1" s="133" t="s">
        <v>8</v>
      </c>
      <c r="B1" s="134"/>
      <c r="C1" s="134"/>
      <c r="D1" s="134"/>
      <c r="E1" s="134"/>
      <c r="F1" s="134"/>
      <c r="G1" s="134"/>
      <c r="H1" s="134"/>
      <c r="I1" s="134"/>
      <c r="J1" s="134"/>
      <c r="K1" s="134"/>
      <c r="L1" s="134"/>
    </row>
    <row r="2" spans="1:12" ht="50.25" customHeight="1" x14ac:dyDescent="0.3">
      <c r="A2" s="135" t="s">
        <v>6</v>
      </c>
      <c r="B2" s="136"/>
      <c r="C2" s="136"/>
      <c r="D2" s="136"/>
      <c r="E2" s="136"/>
      <c r="F2" s="136"/>
      <c r="G2" s="136"/>
      <c r="H2" s="136"/>
      <c r="I2" s="136"/>
      <c r="J2" s="136"/>
      <c r="K2" s="136"/>
      <c r="L2" s="137"/>
    </row>
    <row r="3" spans="1:12" ht="13.75" customHeight="1" x14ac:dyDescent="0.3">
      <c r="A3" s="138" t="s">
        <v>0</v>
      </c>
      <c r="B3" s="139"/>
      <c r="C3" s="139"/>
      <c r="D3" s="140"/>
      <c r="E3" s="138" t="s">
        <v>1</v>
      </c>
      <c r="F3" s="139"/>
      <c r="G3" s="139"/>
      <c r="H3" s="139"/>
      <c r="I3" s="140"/>
      <c r="J3" s="141" t="s">
        <v>7</v>
      </c>
      <c r="K3" s="142"/>
      <c r="L3" s="143"/>
    </row>
    <row r="4" spans="1:12" ht="11" customHeight="1" x14ac:dyDescent="0.3">
      <c r="A4" s="117" t="s">
        <v>11</v>
      </c>
      <c r="B4" s="118"/>
      <c r="C4" s="118"/>
      <c r="D4" s="119"/>
      <c r="E4" s="15" t="s">
        <v>21</v>
      </c>
      <c r="F4" s="1"/>
      <c r="G4" s="1"/>
      <c r="H4" s="1"/>
      <c r="I4" s="2"/>
      <c r="J4" s="3"/>
      <c r="K4" s="126" t="s">
        <v>9</v>
      </c>
      <c r="L4" s="127"/>
    </row>
    <row r="5" spans="1:12" ht="12" customHeight="1" x14ac:dyDescent="0.3">
      <c r="A5" s="120"/>
      <c r="B5" s="121"/>
      <c r="C5" s="121"/>
      <c r="D5" s="122"/>
      <c r="E5" s="4" t="s">
        <v>2</v>
      </c>
      <c r="F5" s="5"/>
      <c r="G5" s="5"/>
      <c r="H5" s="5"/>
      <c r="I5" s="6"/>
      <c r="J5" s="7"/>
      <c r="K5" s="128" t="s">
        <v>10</v>
      </c>
      <c r="L5" s="129"/>
    </row>
    <row r="6" spans="1:12" ht="65.25" customHeight="1" x14ac:dyDescent="0.3">
      <c r="A6" s="123"/>
      <c r="B6" s="124"/>
      <c r="C6" s="124"/>
      <c r="D6" s="125"/>
      <c r="E6" s="10" t="s">
        <v>3</v>
      </c>
      <c r="F6" s="8"/>
      <c r="G6" s="8"/>
      <c r="H6" s="8"/>
      <c r="I6" s="9"/>
      <c r="J6" s="130" t="s">
        <v>4</v>
      </c>
      <c r="K6" s="131"/>
      <c r="L6" s="132"/>
    </row>
    <row r="7" spans="1:12" x14ac:dyDescent="0.3">
      <c r="A7" s="11" t="s">
        <v>12</v>
      </c>
      <c r="B7" s="14" t="s">
        <v>13</v>
      </c>
      <c r="C7" s="14" t="s">
        <v>14</v>
      </c>
      <c r="D7" s="14" t="s">
        <v>15</v>
      </c>
      <c r="E7" s="14" t="s">
        <v>16</v>
      </c>
      <c r="F7" s="14" t="s">
        <v>18</v>
      </c>
      <c r="G7" s="14" t="s">
        <v>5</v>
      </c>
      <c r="H7" s="11" t="s">
        <v>19</v>
      </c>
      <c r="I7" s="11"/>
      <c r="J7" s="11"/>
      <c r="K7" s="11"/>
      <c r="L7" s="11"/>
    </row>
    <row r="8" spans="1:12" x14ac:dyDescent="0.3">
      <c r="A8" s="12">
        <v>1</v>
      </c>
      <c r="H8" s="11" t="s">
        <v>19</v>
      </c>
    </row>
    <row r="9" spans="1:12" x14ac:dyDescent="0.3">
      <c r="A9" s="12">
        <v>2</v>
      </c>
      <c r="H9" s="11" t="s">
        <v>19</v>
      </c>
    </row>
    <row r="10" spans="1:12" x14ac:dyDescent="0.3">
      <c r="A10" s="12">
        <v>3</v>
      </c>
      <c r="H10" s="11" t="s">
        <v>19</v>
      </c>
    </row>
    <row r="11" spans="1:12" x14ac:dyDescent="0.3">
      <c r="A11" s="12"/>
      <c r="F11" s="18">
        <v>999</v>
      </c>
    </row>
    <row r="12" spans="1:12" x14ac:dyDescent="0.3">
      <c r="A12" s="12"/>
    </row>
    <row r="13" spans="1:12" x14ac:dyDescent="0.3">
      <c r="A13" s="12"/>
    </row>
    <row r="14" spans="1:12" x14ac:dyDescent="0.3">
      <c r="A14" s="12"/>
    </row>
    <row r="15" spans="1:12" x14ac:dyDescent="0.3">
      <c r="A15" s="12"/>
    </row>
    <row r="16" spans="1:12" x14ac:dyDescent="0.3">
      <c r="A16" s="12"/>
    </row>
    <row r="17" spans="1:1" x14ac:dyDescent="0.3">
      <c r="A17" s="12"/>
    </row>
    <row r="18" spans="1:1" x14ac:dyDescent="0.3">
      <c r="A18" s="12"/>
    </row>
    <row r="19" spans="1:1" x14ac:dyDescent="0.3">
      <c r="A19" s="12"/>
    </row>
    <row r="20" spans="1:1" x14ac:dyDescent="0.3">
      <c r="A20" s="12"/>
    </row>
    <row r="21" spans="1:1" x14ac:dyDescent="0.3">
      <c r="A21" s="12"/>
    </row>
    <row r="22" spans="1:1" x14ac:dyDescent="0.3">
      <c r="A22" s="12"/>
    </row>
    <row r="23" spans="1:1" x14ac:dyDescent="0.3">
      <c r="A23" s="12"/>
    </row>
    <row r="24" spans="1:1" x14ac:dyDescent="0.3">
      <c r="A24" s="12"/>
    </row>
    <row r="25" spans="1:1" x14ac:dyDescent="0.3">
      <c r="A25" s="12"/>
    </row>
    <row r="26" spans="1:1" x14ac:dyDescent="0.3">
      <c r="A26" s="12"/>
    </row>
    <row r="27" spans="1:1" x14ac:dyDescent="0.3">
      <c r="A27" s="12"/>
    </row>
    <row r="28" spans="1:1" x14ac:dyDescent="0.3">
      <c r="A28" s="12"/>
    </row>
    <row r="29" spans="1:1" x14ac:dyDescent="0.3">
      <c r="A29" s="12"/>
    </row>
    <row r="30" spans="1:1" x14ac:dyDescent="0.3">
      <c r="A30" s="12"/>
    </row>
    <row r="31" spans="1:1" x14ac:dyDescent="0.3">
      <c r="A31" s="12"/>
    </row>
    <row r="32" spans="1:1" x14ac:dyDescent="0.3">
      <c r="A32" s="12"/>
    </row>
    <row r="33" spans="1:1" x14ac:dyDescent="0.3">
      <c r="A33" s="12"/>
    </row>
    <row r="34" spans="1:1" x14ac:dyDescent="0.3">
      <c r="A34" s="12"/>
    </row>
    <row r="35" spans="1:1" x14ac:dyDescent="0.3">
      <c r="A35" s="12"/>
    </row>
    <row r="36" spans="1:1" x14ac:dyDescent="0.3">
      <c r="A36" s="12"/>
    </row>
    <row r="37" spans="1:1" x14ac:dyDescent="0.3">
      <c r="A37" s="12"/>
    </row>
    <row r="38" spans="1:1" x14ac:dyDescent="0.3">
      <c r="A38" s="12"/>
    </row>
    <row r="39" spans="1:1" x14ac:dyDescent="0.3">
      <c r="A39" s="12"/>
    </row>
    <row r="40" spans="1:1" x14ac:dyDescent="0.3">
      <c r="A40" s="12"/>
    </row>
    <row r="41" spans="1:1" x14ac:dyDescent="0.3">
      <c r="A41" s="12"/>
    </row>
    <row r="42" spans="1:1" x14ac:dyDescent="0.3">
      <c r="A42" s="12"/>
    </row>
    <row r="43" spans="1:1" x14ac:dyDescent="0.3">
      <c r="A43" s="12"/>
    </row>
    <row r="44" spans="1:1" x14ac:dyDescent="0.3">
      <c r="A44" s="12"/>
    </row>
    <row r="45" spans="1:1" x14ac:dyDescent="0.3">
      <c r="A45" s="12"/>
    </row>
    <row r="46" spans="1:1" x14ac:dyDescent="0.3">
      <c r="A46" s="12"/>
    </row>
    <row r="47" spans="1:1" x14ac:dyDescent="0.3">
      <c r="A47" s="12"/>
    </row>
    <row r="48" spans="1:1" x14ac:dyDescent="0.3">
      <c r="A48" s="12"/>
    </row>
    <row r="49" spans="1:1" x14ac:dyDescent="0.3">
      <c r="A49" s="12"/>
    </row>
    <row r="50" spans="1:1" x14ac:dyDescent="0.3">
      <c r="A50" s="12"/>
    </row>
    <row r="51" spans="1:1" x14ac:dyDescent="0.3">
      <c r="A51" s="12"/>
    </row>
    <row r="52" spans="1:1" x14ac:dyDescent="0.3">
      <c r="A52" s="12"/>
    </row>
    <row r="53" spans="1:1" x14ac:dyDescent="0.3">
      <c r="A53" s="12"/>
    </row>
    <row r="54" spans="1:1" x14ac:dyDescent="0.3">
      <c r="A54" s="12"/>
    </row>
    <row r="55" spans="1:1" x14ac:dyDescent="0.3">
      <c r="A55" s="12"/>
    </row>
    <row r="56" spans="1:1" x14ac:dyDescent="0.3">
      <c r="A56" s="12"/>
    </row>
    <row r="57" spans="1:1" x14ac:dyDescent="0.3">
      <c r="A57" s="12"/>
    </row>
    <row r="58" spans="1:1" x14ac:dyDescent="0.3">
      <c r="A58" s="12"/>
    </row>
    <row r="59" spans="1:1" x14ac:dyDescent="0.3">
      <c r="A59" s="12"/>
    </row>
    <row r="60" spans="1:1" x14ac:dyDescent="0.3">
      <c r="A60" s="12"/>
    </row>
    <row r="61" spans="1:1" x14ac:dyDescent="0.3">
      <c r="A61" s="12"/>
    </row>
    <row r="62" spans="1:1" x14ac:dyDescent="0.3">
      <c r="A62" s="12"/>
    </row>
    <row r="63" spans="1:1" x14ac:dyDescent="0.3">
      <c r="A63" s="12"/>
    </row>
    <row r="64" spans="1:1" x14ac:dyDescent="0.3">
      <c r="A64" s="12"/>
    </row>
    <row r="65" spans="1:1" x14ac:dyDescent="0.3">
      <c r="A65" s="12"/>
    </row>
    <row r="66" spans="1:1" x14ac:dyDescent="0.3">
      <c r="A66" s="12"/>
    </row>
    <row r="67" spans="1:1" x14ac:dyDescent="0.3">
      <c r="A67" s="12"/>
    </row>
    <row r="68" spans="1:1" x14ac:dyDescent="0.3">
      <c r="A68" s="12"/>
    </row>
    <row r="69" spans="1:1" x14ac:dyDescent="0.3">
      <c r="A69" s="12"/>
    </row>
    <row r="70" spans="1:1" x14ac:dyDescent="0.3">
      <c r="A70" s="12"/>
    </row>
    <row r="71" spans="1:1" x14ac:dyDescent="0.3">
      <c r="A71" s="12"/>
    </row>
    <row r="72" spans="1:1" x14ac:dyDescent="0.3">
      <c r="A72" s="12"/>
    </row>
    <row r="73" spans="1:1" x14ac:dyDescent="0.3">
      <c r="A73" s="12"/>
    </row>
    <row r="74" spans="1:1" x14ac:dyDescent="0.3">
      <c r="A74" s="12"/>
    </row>
    <row r="75" spans="1:1" x14ac:dyDescent="0.3">
      <c r="A75" s="12"/>
    </row>
    <row r="76" spans="1:1" x14ac:dyDescent="0.3">
      <c r="A76" s="12"/>
    </row>
    <row r="77" spans="1:1" x14ac:dyDescent="0.3">
      <c r="A77" s="12"/>
    </row>
    <row r="78" spans="1:1" x14ac:dyDescent="0.3">
      <c r="A78" s="12"/>
    </row>
    <row r="79" spans="1:1" x14ac:dyDescent="0.3">
      <c r="A79" s="12"/>
    </row>
    <row r="80" spans="1:1" x14ac:dyDescent="0.3">
      <c r="A80" s="12"/>
    </row>
    <row r="81" spans="1:1" x14ac:dyDescent="0.3">
      <c r="A81" s="12"/>
    </row>
    <row r="82" spans="1:1" x14ac:dyDescent="0.3">
      <c r="A82" s="12"/>
    </row>
    <row r="83" spans="1:1" x14ac:dyDescent="0.3">
      <c r="A83" s="12"/>
    </row>
    <row r="84" spans="1:1" x14ac:dyDescent="0.3">
      <c r="A84" s="12"/>
    </row>
    <row r="85" spans="1:1" x14ac:dyDescent="0.3">
      <c r="A85" s="12"/>
    </row>
    <row r="86" spans="1:1" x14ac:dyDescent="0.3">
      <c r="A86" s="12"/>
    </row>
    <row r="87" spans="1:1" x14ac:dyDescent="0.3">
      <c r="A87" s="12"/>
    </row>
    <row r="88" spans="1:1" x14ac:dyDescent="0.3">
      <c r="A88" s="12"/>
    </row>
    <row r="89" spans="1:1" x14ac:dyDescent="0.3">
      <c r="A89" s="12"/>
    </row>
    <row r="90" spans="1:1" x14ac:dyDescent="0.3">
      <c r="A90" s="12"/>
    </row>
    <row r="91" spans="1:1" x14ac:dyDescent="0.3">
      <c r="A91" s="12"/>
    </row>
    <row r="92" spans="1:1" x14ac:dyDescent="0.3">
      <c r="A92" s="12"/>
    </row>
    <row r="93" spans="1:1" x14ac:dyDescent="0.3">
      <c r="A93" s="12"/>
    </row>
    <row r="94" spans="1:1" x14ac:dyDescent="0.3">
      <c r="A94" s="12"/>
    </row>
    <row r="95" spans="1:1" x14ac:dyDescent="0.3">
      <c r="A95" s="12"/>
    </row>
    <row r="96" spans="1:1" x14ac:dyDescent="0.3">
      <c r="A96" s="12"/>
    </row>
    <row r="97" spans="1:1" x14ac:dyDescent="0.3">
      <c r="A97" s="12"/>
    </row>
    <row r="98" spans="1:1" x14ac:dyDescent="0.3">
      <c r="A98" s="12"/>
    </row>
    <row r="99" spans="1:1" x14ac:dyDescent="0.3">
      <c r="A99" s="12"/>
    </row>
    <row r="100" spans="1:1" x14ac:dyDescent="0.3">
      <c r="A100" s="12"/>
    </row>
    <row r="101" spans="1:1" x14ac:dyDescent="0.3">
      <c r="A101" s="12"/>
    </row>
    <row r="102" spans="1:1" x14ac:dyDescent="0.3">
      <c r="A102" s="12"/>
    </row>
    <row r="103" spans="1:1" x14ac:dyDescent="0.3">
      <c r="A103" s="12"/>
    </row>
    <row r="104" spans="1:1" x14ac:dyDescent="0.3">
      <c r="A104" s="12"/>
    </row>
    <row r="105" spans="1:1" x14ac:dyDescent="0.3">
      <c r="A105" s="12"/>
    </row>
    <row r="106" spans="1:1" x14ac:dyDescent="0.3">
      <c r="A106" s="12"/>
    </row>
    <row r="107" spans="1:1" x14ac:dyDescent="0.3">
      <c r="A107" s="12"/>
    </row>
    <row r="108" spans="1:1" x14ac:dyDescent="0.3">
      <c r="A108" s="12"/>
    </row>
    <row r="109" spans="1:1" x14ac:dyDescent="0.3">
      <c r="A109" s="12"/>
    </row>
    <row r="110" spans="1:1" x14ac:dyDescent="0.3">
      <c r="A110" s="12"/>
    </row>
    <row r="111" spans="1:1" x14ac:dyDescent="0.3">
      <c r="A111" s="12"/>
    </row>
    <row r="112" spans="1:1" x14ac:dyDescent="0.3">
      <c r="A112" s="12"/>
    </row>
    <row r="113" spans="1:1" x14ac:dyDescent="0.3">
      <c r="A113" s="12"/>
    </row>
    <row r="114" spans="1:1" x14ac:dyDescent="0.3">
      <c r="A114" s="12"/>
    </row>
    <row r="115" spans="1:1" x14ac:dyDescent="0.3">
      <c r="A115" s="12"/>
    </row>
    <row r="116" spans="1:1" x14ac:dyDescent="0.3">
      <c r="A116" s="12"/>
    </row>
    <row r="117" spans="1:1" x14ac:dyDescent="0.3">
      <c r="A117" s="12"/>
    </row>
    <row r="118" spans="1:1" x14ac:dyDescent="0.3">
      <c r="A118" s="12"/>
    </row>
    <row r="119" spans="1:1" x14ac:dyDescent="0.3">
      <c r="A119" s="12"/>
    </row>
    <row r="120" spans="1:1" x14ac:dyDescent="0.3">
      <c r="A120" s="12"/>
    </row>
    <row r="121" spans="1:1" x14ac:dyDescent="0.3">
      <c r="A121" s="12"/>
    </row>
    <row r="122" spans="1:1" x14ac:dyDescent="0.3">
      <c r="A122" s="12"/>
    </row>
    <row r="123" spans="1:1" x14ac:dyDescent="0.3">
      <c r="A123" s="12"/>
    </row>
    <row r="124" spans="1:1" x14ac:dyDescent="0.3">
      <c r="A124" s="12"/>
    </row>
    <row r="125" spans="1:1" x14ac:dyDescent="0.3">
      <c r="A125" s="12"/>
    </row>
    <row r="126" spans="1:1" x14ac:dyDescent="0.3">
      <c r="A126" s="12"/>
    </row>
    <row r="127" spans="1:1" x14ac:dyDescent="0.3">
      <c r="A127" s="12"/>
    </row>
    <row r="128" spans="1:1" x14ac:dyDescent="0.3">
      <c r="A128" s="12"/>
    </row>
    <row r="129" spans="1:1" x14ac:dyDescent="0.3">
      <c r="A129" s="12"/>
    </row>
    <row r="130" spans="1:1" x14ac:dyDescent="0.3">
      <c r="A130" s="12"/>
    </row>
    <row r="131" spans="1:1" x14ac:dyDescent="0.3">
      <c r="A131" s="12"/>
    </row>
    <row r="132" spans="1:1" x14ac:dyDescent="0.3">
      <c r="A132" s="12"/>
    </row>
    <row r="133" spans="1:1" x14ac:dyDescent="0.3">
      <c r="A133" s="12"/>
    </row>
    <row r="134" spans="1:1" x14ac:dyDescent="0.3">
      <c r="A134" s="12"/>
    </row>
    <row r="135" spans="1:1" x14ac:dyDescent="0.3">
      <c r="A135" s="12"/>
    </row>
    <row r="136" spans="1:1" x14ac:dyDescent="0.3">
      <c r="A136" s="12"/>
    </row>
    <row r="137" spans="1:1" x14ac:dyDescent="0.3">
      <c r="A137" s="12"/>
    </row>
    <row r="138" spans="1:1" x14ac:dyDescent="0.3">
      <c r="A138" s="12"/>
    </row>
    <row r="139" spans="1:1" x14ac:dyDescent="0.3">
      <c r="A139" s="12"/>
    </row>
    <row r="140" spans="1:1" x14ac:dyDescent="0.3">
      <c r="A140" s="12"/>
    </row>
    <row r="141" spans="1:1" x14ac:dyDescent="0.3">
      <c r="A141" s="12"/>
    </row>
  </sheetData>
  <mergeCells count="9">
    <mergeCell ref="A4:D6"/>
    <mergeCell ref="K4:L4"/>
    <mergeCell ref="K5:L5"/>
    <mergeCell ref="J6:L6"/>
    <mergeCell ref="A1:L1"/>
    <mergeCell ref="A2:L2"/>
    <mergeCell ref="A3:D3"/>
    <mergeCell ref="E3:I3"/>
    <mergeCell ref="J3:L3"/>
  </mergeCells>
  <hyperlinks>
    <hyperlink ref="A2" r:id="rId1" display="mailto:srikrishnaeng01@gmail.com" xr:uid="{00000000-0004-0000-0000-000000000000}"/>
  </hyperlinks>
  <pageMargins left="0.25" right="0.25" top="0.75" bottom="0.75" header="0.3" footer="0.3"/>
  <pageSetup scale="5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C95E-23F2-4BED-ADCC-E7EEFF7B0315}">
  <sheetPr codeName="Sheet2">
    <pageSetUpPr fitToPage="1"/>
  </sheetPr>
  <dimension ref="A22:K117"/>
  <sheetViews>
    <sheetView showZeros="0" topLeftCell="A13" zoomScale="70" zoomScaleNormal="70" workbookViewId="0">
      <selection activeCell="P29" sqref="P29"/>
    </sheetView>
  </sheetViews>
  <sheetFormatPr defaultRowHeight="13" x14ac:dyDescent="0.3"/>
  <cols>
    <col min="3" max="3" width="10.8984375" customWidth="1"/>
    <col min="4" max="4" width="29.09765625" customWidth="1"/>
    <col min="5" max="5" width="14.296875" customWidth="1"/>
    <col min="6" max="6" width="11.3984375" customWidth="1"/>
    <col min="7" max="7" width="13.09765625" customWidth="1"/>
    <col min="8" max="8" width="20.5" customWidth="1"/>
    <col min="9" max="10" width="14.8984375" customWidth="1"/>
    <col min="11" max="11" width="16.19921875" customWidth="1"/>
  </cols>
  <sheetData>
    <row r="22" spans="3:11" ht="14" x14ac:dyDescent="0.3">
      <c r="C22" s="29" t="s">
        <v>22</v>
      </c>
      <c r="D22" s="22" t="s">
        <v>13</v>
      </c>
      <c r="E22" s="22" t="s">
        <v>14</v>
      </c>
      <c r="F22" s="22" t="s">
        <v>15</v>
      </c>
      <c r="G22" s="22" t="s">
        <v>16</v>
      </c>
      <c r="H22" s="22" t="s">
        <v>18</v>
      </c>
      <c r="I22" s="22" t="s">
        <v>5</v>
      </c>
      <c r="J22" s="22" t="s">
        <v>19</v>
      </c>
      <c r="K22" s="30" t="s">
        <v>20</v>
      </c>
    </row>
    <row r="23" spans="3:11" ht="14" x14ac:dyDescent="0.3">
      <c r="C23" s="24">
        <v>1</v>
      </c>
      <c r="D23" s="31" t="s">
        <v>28</v>
      </c>
      <c r="E23" s="33">
        <v>1</v>
      </c>
      <c r="F23" s="33">
        <v>1</v>
      </c>
      <c r="G23" s="33">
        <v>4500</v>
      </c>
      <c r="H23" s="33">
        <v>8900</v>
      </c>
      <c r="I23" s="33">
        <f>H23*9%</f>
        <v>801</v>
      </c>
      <c r="J23" s="33">
        <f>H23*9%</f>
        <v>801</v>
      </c>
      <c r="K23" s="25">
        <f>H23+I23+J23</f>
        <v>10502</v>
      </c>
    </row>
    <row r="24" spans="3:11" ht="14" x14ac:dyDescent="0.3">
      <c r="C24" s="24">
        <v>2</v>
      </c>
      <c r="D24" s="31"/>
      <c r="E24" s="33"/>
      <c r="F24" s="31"/>
      <c r="G24" s="31"/>
      <c r="H24" s="33"/>
      <c r="I24" s="33">
        <f t="shared" ref="I24:I40" si="0">H24*9%</f>
        <v>0</v>
      </c>
      <c r="J24" s="33">
        <f t="shared" ref="J24:J40" si="1">H24*9%</f>
        <v>0</v>
      </c>
      <c r="K24" s="25">
        <f t="shared" ref="K24:K40" si="2">H24+I24+J24</f>
        <v>0</v>
      </c>
    </row>
    <row r="25" spans="3:11" ht="14" x14ac:dyDescent="0.3">
      <c r="C25" s="24"/>
      <c r="D25" s="31"/>
      <c r="E25" s="33"/>
      <c r="F25" s="31"/>
      <c r="G25" s="31"/>
      <c r="H25" s="33"/>
      <c r="I25" s="33">
        <f t="shared" si="0"/>
        <v>0</v>
      </c>
      <c r="J25" s="33">
        <f t="shared" si="1"/>
        <v>0</v>
      </c>
      <c r="K25" s="25">
        <f t="shared" si="2"/>
        <v>0</v>
      </c>
    </row>
    <row r="26" spans="3:11" ht="14" x14ac:dyDescent="0.3">
      <c r="C26" s="24"/>
      <c r="D26" s="31"/>
      <c r="E26" s="33"/>
      <c r="F26" s="31"/>
      <c r="G26" s="31"/>
      <c r="H26" s="33"/>
      <c r="I26" s="33">
        <f t="shared" si="0"/>
        <v>0</v>
      </c>
      <c r="J26" s="33">
        <f t="shared" si="1"/>
        <v>0</v>
      </c>
      <c r="K26" s="25">
        <f t="shared" si="2"/>
        <v>0</v>
      </c>
    </row>
    <row r="27" spans="3:11" ht="14" x14ac:dyDescent="0.3">
      <c r="C27" s="24"/>
      <c r="D27" s="31"/>
      <c r="E27" s="33"/>
      <c r="F27" s="31"/>
      <c r="G27" s="31"/>
      <c r="H27" s="33"/>
      <c r="I27" s="33">
        <f t="shared" si="0"/>
        <v>0</v>
      </c>
      <c r="J27" s="33">
        <f t="shared" si="1"/>
        <v>0</v>
      </c>
      <c r="K27" s="25">
        <f t="shared" si="2"/>
        <v>0</v>
      </c>
    </row>
    <row r="28" spans="3:11" ht="14" x14ac:dyDescent="0.3">
      <c r="C28" s="24"/>
      <c r="D28" s="31"/>
      <c r="E28" s="33"/>
      <c r="F28" s="31"/>
      <c r="G28" s="31"/>
      <c r="H28" s="33"/>
      <c r="I28" s="33">
        <f t="shared" si="0"/>
        <v>0</v>
      </c>
      <c r="J28" s="33">
        <f t="shared" si="1"/>
        <v>0</v>
      </c>
      <c r="K28" s="25">
        <f t="shared" si="2"/>
        <v>0</v>
      </c>
    </row>
    <row r="29" spans="3:11" ht="14" x14ac:dyDescent="0.3">
      <c r="C29" s="24"/>
      <c r="D29" s="31"/>
      <c r="E29" s="33"/>
      <c r="F29" s="31"/>
      <c r="G29" s="31"/>
      <c r="H29" s="33"/>
      <c r="I29" s="33">
        <f t="shared" si="0"/>
        <v>0</v>
      </c>
      <c r="J29" s="33">
        <f t="shared" si="1"/>
        <v>0</v>
      </c>
      <c r="K29" s="25">
        <f t="shared" si="2"/>
        <v>0</v>
      </c>
    </row>
    <row r="30" spans="3:11" ht="14" x14ac:dyDescent="0.3">
      <c r="C30" s="24"/>
      <c r="D30" s="31"/>
      <c r="E30" s="33"/>
      <c r="F30" s="31"/>
      <c r="G30" s="31"/>
      <c r="H30" s="33"/>
      <c r="I30" s="33">
        <f t="shared" si="0"/>
        <v>0</v>
      </c>
      <c r="J30" s="33">
        <f t="shared" si="1"/>
        <v>0</v>
      </c>
      <c r="K30" s="25">
        <f t="shared" si="2"/>
        <v>0</v>
      </c>
    </row>
    <row r="31" spans="3:11" ht="14" x14ac:dyDescent="0.3">
      <c r="C31" s="24"/>
      <c r="D31" s="31"/>
      <c r="E31" s="33"/>
      <c r="F31" s="31"/>
      <c r="G31" s="31"/>
      <c r="H31" s="33"/>
      <c r="I31" s="33">
        <f t="shared" si="0"/>
        <v>0</v>
      </c>
      <c r="J31" s="33">
        <f t="shared" si="1"/>
        <v>0</v>
      </c>
      <c r="K31" s="25">
        <f t="shared" si="2"/>
        <v>0</v>
      </c>
    </row>
    <row r="32" spans="3:11" ht="14" x14ac:dyDescent="0.3">
      <c r="C32" s="24"/>
      <c r="D32" s="31"/>
      <c r="E32" s="33"/>
      <c r="F32" s="31"/>
      <c r="G32" s="31"/>
      <c r="H32" s="33"/>
      <c r="I32" s="33">
        <f t="shared" si="0"/>
        <v>0</v>
      </c>
      <c r="J32" s="33">
        <f t="shared" si="1"/>
        <v>0</v>
      </c>
      <c r="K32" s="25">
        <f t="shared" si="2"/>
        <v>0</v>
      </c>
    </row>
    <row r="33" spans="1:11" ht="14" x14ac:dyDescent="0.3">
      <c r="C33" s="24"/>
      <c r="D33" s="31"/>
      <c r="E33" s="33"/>
      <c r="F33" s="31"/>
      <c r="G33" s="31"/>
      <c r="H33" s="33"/>
      <c r="I33" s="33">
        <f t="shared" si="0"/>
        <v>0</v>
      </c>
      <c r="J33" s="33">
        <f t="shared" si="1"/>
        <v>0</v>
      </c>
      <c r="K33" s="25">
        <f t="shared" si="2"/>
        <v>0</v>
      </c>
    </row>
    <row r="34" spans="1:11" ht="14" x14ac:dyDescent="0.3">
      <c r="C34" s="24"/>
      <c r="D34" s="31"/>
      <c r="E34" s="33"/>
      <c r="F34" s="31"/>
      <c r="G34" s="31"/>
      <c r="H34" s="33"/>
      <c r="I34" s="33">
        <f t="shared" si="0"/>
        <v>0</v>
      </c>
      <c r="J34" s="33">
        <f t="shared" si="1"/>
        <v>0</v>
      </c>
      <c r="K34" s="25">
        <f t="shared" si="2"/>
        <v>0</v>
      </c>
    </row>
    <row r="35" spans="1:11" ht="14" x14ac:dyDescent="0.3">
      <c r="C35" s="24"/>
      <c r="D35" s="31"/>
      <c r="E35" s="33"/>
      <c r="F35" s="31"/>
      <c r="G35" s="31"/>
      <c r="H35" s="33"/>
      <c r="I35" s="33">
        <f t="shared" si="0"/>
        <v>0</v>
      </c>
      <c r="J35" s="33">
        <f t="shared" si="1"/>
        <v>0</v>
      </c>
      <c r="K35" s="25">
        <f t="shared" si="2"/>
        <v>0</v>
      </c>
    </row>
    <row r="36" spans="1:11" ht="14" x14ac:dyDescent="0.3">
      <c r="C36" s="24"/>
      <c r="D36" s="31"/>
      <c r="E36" s="33"/>
      <c r="F36" s="31"/>
      <c r="G36" s="31"/>
      <c r="H36" s="33"/>
      <c r="I36" s="33">
        <f t="shared" si="0"/>
        <v>0</v>
      </c>
      <c r="J36" s="33">
        <f t="shared" si="1"/>
        <v>0</v>
      </c>
      <c r="K36" s="25">
        <f t="shared" si="2"/>
        <v>0</v>
      </c>
    </row>
    <row r="37" spans="1:11" ht="14" x14ac:dyDescent="0.3">
      <c r="C37" s="24"/>
      <c r="D37" s="31"/>
      <c r="E37" s="33"/>
      <c r="F37" s="31"/>
      <c r="G37" s="31"/>
      <c r="H37" s="33"/>
      <c r="I37" s="33">
        <f t="shared" si="0"/>
        <v>0</v>
      </c>
      <c r="J37" s="33">
        <f t="shared" si="1"/>
        <v>0</v>
      </c>
      <c r="K37" s="25">
        <f t="shared" si="2"/>
        <v>0</v>
      </c>
    </row>
    <row r="38" spans="1:11" ht="14" x14ac:dyDescent="0.3">
      <c r="C38" s="24"/>
      <c r="D38" s="31"/>
      <c r="E38" s="33"/>
      <c r="F38" s="31"/>
      <c r="G38" s="31"/>
      <c r="H38" s="33"/>
      <c r="I38" s="33">
        <f t="shared" si="0"/>
        <v>0</v>
      </c>
      <c r="J38" s="33">
        <f t="shared" si="1"/>
        <v>0</v>
      </c>
      <c r="K38" s="25">
        <f t="shared" si="2"/>
        <v>0</v>
      </c>
    </row>
    <row r="39" spans="1:11" ht="14" x14ac:dyDescent="0.3">
      <c r="C39" s="24"/>
      <c r="D39" s="31"/>
      <c r="E39" s="33"/>
      <c r="F39" s="31"/>
      <c r="G39" s="31"/>
      <c r="H39" s="33"/>
      <c r="I39" s="33">
        <f t="shared" si="0"/>
        <v>0</v>
      </c>
      <c r="J39" s="33">
        <f t="shared" si="1"/>
        <v>0</v>
      </c>
      <c r="K39" s="25">
        <f t="shared" si="2"/>
        <v>0</v>
      </c>
    </row>
    <row r="40" spans="1:11" ht="14" x14ac:dyDescent="0.3">
      <c r="C40" s="24"/>
      <c r="D40" s="31"/>
      <c r="E40" s="33"/>
      <c r="F40" s="31"/>
      <c r="G40" s="31"/>
      <c r="H40" s="34"/>
      <c r="I40" s="34">
        <f t="shared" si="0"/>
        <v>0</v>
      </c>
      <c r="J40" s="34">
        <f t="shared" si="1"/>
        <v>0</v>
      </c>
      <c r="K40" s="25">
        <f t="shared" si="2"/>
        <v>0</v>
      </c>
    </row>
    <row r="41" spans="1:11" ht="14" x14ac:dyDescent="0.3">
      <c r="C41" s="19"/>
      <c r="D41" s="21" t="s">
        <v>23</v>
      </c>
      <c r="E41" s="19"/>
      <c r="F41" s="20"/>
      <c r="G41" s="20"/>
      <c r="H41" s="23">
        <f>SUM(H23:H40)</f>
        <v>8900</v>
      </c>
      <c r="I41" s="42">
        <f>SUM(I23:I40)</f>
        <v>801</v>
      </c>
      <c r="J41" s="42">
        <f t="shared" ref="J41:K41" si="3">SUM(J23:J40)</f>
        <v>801</v>
      </c>
      <c r="K41" s="42">
        <f t="shared" si="3"/>
        <v>10502</v>
      </c>
    </row>
    <row r="42" spans="1:11" ht="14" x14ac:dyDescent="0.3">
      <c r="A42" s="13"/>
      <c r="C42" s="24" t="s">
        <v>24</v>
      </c>
      <c r="D42" s="35" t="s">
        <v>17</v>
      </c>
      <c r="E42" s="16" t="s">
        <v>25</v>
      </c>
      <c r="F42" s="16" t="s">
        <v>26</v>
      </c>
      <c r="G42" s="31" t="s">
        <v>20</v>
      </c>
      <c r="H42" s="43"/>
      <c r="I42" s="38"/>
      <c r="J42" s="38"/>
      <c r="K42" s="39"/>
    </row>
    <row r="43" spans="1:11" ht="14" x14ac:dyDescent="0.3">
      <c r="C43" s="24" t="s">
        <v>19</v>
      </c>
      <c r="D43" s="36">
        <f>H41</f>
        <v>8900</v>
      </c>
      <c r="E43" s="17">
        <v>0.09</v>
      </c>
      <c r="F43" s="37">
        <f>J41</f>
        <v>801</v>
      </c>
      <c r="G43" s="31" t="s">
        <v>27</v>
      </c>
      <c r="H43" s="44"/>
      <c r="I43" s="16"/>
      <c r="J43" s="16"/>
      <c r="K43" s="26"/>
    </row>
    <row r="44" spans="1:11" ht="14" x14ac:dyDescent="0.3">
      <c r="C44" s="27" t="s">
        <v>5</v>
      </c>
      <c r="D44" s="28">
        <f>H41</f>
        <v>8900</v>
      </c>
      <c r="E44" s="40">
        <v>0.09</v>
      </c>
      <c r="F44" s="41">
        <f>I41</f>
        <v>801</v>
      </c>
      <c r="G44" s="32" t="s">
        <v>23</v>
      </c>
      <c r="H44" s="45"/>
      <c r="I44" s="28"/>
      <c r="J44" s="28"/>
      <c r="K44" s="46">
        <f>K41</f>
        <v>10502</v>
      </c>
    </row>
    <row r="45" spans="1:11" ht="14" x14ac:dyDescent="0.3">
      <c r="C45" s="16"/>
      <c r="D45" s="16"/>
      <c r="E45" s="16"/>
      <c r="F45" s="17"/>
      <c r="G45" s="16"/>
      <c r="H45" s="16"/>
      <c r="I45" s="16"/>
      <c r="J45" s="16"/>
      <c r="K45" s="16"/>
    </row>
    <row r="46" spans="1:11" ht="14" x14ac:dyDescent="0.3">
      <c r="C46" s="16"/>
      <c r="D46" s="16"/>
      <c r="E46" s="16"/>
      <c r="F46" s="16"/>
      <c r="G46" s="16"/>
      <c r="H46" s="16"/>
      <c r="I46" s="16"/>
      <c r="J46" s="16"/>
      <c r="K46" s="16"/>
    </row>
    <row r="47" spans="1:11" ht="14" x14ac:dyDescent="0.3">
      <c r="C47" s="16"/>
      <c r="D47" s="16"/>
      <c r="E47" s="16"/>
      <c r="F47" s="16"/>
      <c r="G47" s="16"/>
      <c r="H47" s="16"/>
      <c r="I47" s="16"/>
      <c r="J47" s="16"/>
      <c r="K47" s="16"/>
    </row>
    <row r="48" spans="1:11" ht="14" x14ac:dyDescent="0.3">
      <c r="C48" s="16"/>
      <c r="D48" s="16"/>
      <c r="E48" s="16"/>
      <c r="F48" s="16"/>
      <c r="G48" s="16"/>
      <c r="H48" s="16"/>
      <c r="I48" s="16"/>
      <c r="J48" s="16"/>
      <c r="K48" s="16"/>
    </row>
    <row r="49" spans="3:11" ht="14" x14ac:dyDescent="0.3">
      <c r="C49" s="16"/>
      <c r="D49" s="16"/>
      <c r="E49" s="16"/>
      <c r="F49" s="16"/>
      <c r="G49" s="16"/>
      <c r="H49" s="16"/>
      <c r="I49" s="16"/>
      <c r="J49" s="16"/>
      <c r="K49" s="16"/>
    </row>
    <row r="50" spans="3:11" ht="14" x14ac:dyDescent="0.3">
      <c r="C50" s="16"/>
      <c r="D50" s="16"/>
      <c r="E50" s="16"/>
      <c r="F50" s="16"/>
      <c r="G50" s="16"/>
      <c r="H50" s="16"/>
      <c r="I50" s="16"/>
      <c r="J50" s="16"/>
      <c r="K50" s="16"/>
    </row>
    <row r="51" spans="3:11" ht="14" x14ac:dyDescent="0.3">
      <c r="C51" s="16"/>
      <c r="D51" s="16"/>
      <c r="E51" s="16"/>
      <c r="F51" s="16"/>
      <c r="G51" s="16"/>
      <c r="H51" s="16"/>
      <c r="I51" s="16"/>
      <c r="J51" s="16"/>
      <c r="K51" s="16"/>
    </row>
    <row r="52" spans="3:11" ht="14" x14ac:dyDescent="0.3">
      <c r="C52" s="16"/>
      <c r="D52" s="16"/>
      <c r="E52" s="16"/>
      <c r="F52" s="16"/>
      <c r="G52" s="16"/>
      <c r="H52" s="16"/>
      <c r="I52" s="16"/>
      <c r="J52" s="16"/>
      <c r="K52" s="16"/>
    </row>
    <row r="53" spans="3:11" ht="14" x14ac:dyDescent="0.3">
      <c r="C53" s="16"/>
      <c r="D53" s="16"/>
      <c r="E53" s="16"/>
      <c r="F53" s="16"/>
      <c r="G53" s="16"/>
      <c r="H53" s="16"/>
      <c r="I53" s="16"/>
      <c r="J53" s="16"/>
      <c r="K53" s="16"/>
    </row>
    <row r="54" spans="3:11" ht="14" x14ac:dyDescent="0.3">
      <c r="C54" s="16"/>
      <c r="D54" s="16"/>
      <c r="E54" s="16"/>
      <c r="F54" s="16"/>
      <c r="G54" s="16"/>
      <c r="H54" s="16"/>
      <c r="I54" s="16"/>
      <c r="J54" s="16"/>
      <c r="K54" s="16"/>
    </row>
    <row r="55" spans="3:11" ht="14" x14ac:dyDescent="0.3">
      <c r="C55" s="16"/>
      <c r="D55" s="16"/>
      <c r="E55" s="16"/>
      <c r="F55" s="16"/>
      <c r="G55" s="16"/>
      <c r="H55" s="16"/>
      <c r="I55" s="16"/>
      <c r="J55" s="16"/>
      <c r="K55" s="16"/>
    </row>
    <row r="56" spans="3:11" ht="14" x14ac:dyDescent="0.3">
      <c r="C56" s="16"/>
      <c r="D56" s="16"/>
      <c r="E56" s="16"/>
      <c r="F56" s="16"/>
      <c r="G56" s="16"/>
      <c r="H56" s="16"/>
      <c r="I56" s="16"/>
      <c r="J56" s="16"/>
      <c r="K56" s="16"/>
    </row>
    <row r="117" spans="4:4" x14ac:dyDescent="0.3">
      <c r="D117" s="13"/>
    </row>
  </sheetData>
  <pageMargins left="0.25" right="0.25" top="0.75" bottom="0.75" header="0.3" footer="0.3"/>
  <pageSetup scale="7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8A8B-0646-4CA2-BB1C-4B44C0445C4D}">
  <sheetPr>
    <pageSetUpPr fitToPage="1"/>
  </sheetPr>
  <dimension ref="A1:L60"/>
  <sheetViews>
    <sheetView showZeros="0" tabSelected="1" topLeftCell="A7" workbookViewId="0">
      <selection activeCell="A21" sqref="A21:A22"/>
    </sheetView>
  </sheetViews>
  <sheetFormatPr defaultRowHeight="13" x14ac:dyDescent="0.3"/>
  <cols>
    <col min="1" max="1" width="10.296875" customWidth="1"/>
    <col min="2" max="2" width="19.5" customWidth="1"/>
    <col min="4" max="4" width="12.3984375" customWidth="1"/>
    <col min="5" max="5" width="11.09765625" customWidth="1"/>
    <col min="6" max="6" width="10.796875" customWidth="1"/>
    <col min="7" max="7" width="11.5" customWidth="1"/>
    <col min="12" max="12" width="11.69921875" customWidth="1"/>
  </cols>
  <sheetData>
    <row r="1" spans="1:12" x14ac:dyDescent="0.3">
      <c r="A1" s="65" t="s">
        <v>38</v>
      </c>
      <c r="B1" s="66"/>
      <c r="C1" s="66"/>
      <c r="D1" s="66"/>
      <c r="E1" s="66"/>
      <c r="F1" s="66"/>
      <c r="G1" s="66"/>
      <c r="H1" s="66"/>
      <c r="I1" s="66"/>
      <c r="J1" s="66"/>
      <c r="K1" s="66"/>
      <c r="L1" s="66"/>
    </row>
    <row r="2" spans="1:12" x14ac:dyDescent="0.3">
      <c r="A2" s="66"/>
      <c r="B2" s="66"/>
      <c r="C2" s="66"/>
      <c r="D2" s="66"/>
      <c r="E2" s="66"/>
      <c r="F2" s="66"/>
      <c r="G2" s="66"/>
      <c r="H2" s="66"/>
      <c r="I2" s="66"/>
      <c r="J2" s="66"/>
      <c r="K2" s="66"/>
      <c r="L2" s="66"/>
    </row>
    <row r="3" spans="1:12" x14ac:dyDescent="0.3">
      <c r="A3" s="66"/>
      <c r="B3" s="66"/>
      <c r="C3" s="66"/>
      <c r="D3" s="66"/>
      <c r="E3" s="66"/>
      <c r="F3" s="66"/>
      <c r="G3" s="66"/>
      <c r="H3" s="66"/>
      <c r="I3" s="66"/>
      <c r="J3" s="66"/>
      <c r="K3" s="66"/>
      <c r="L3" s="66"/>
    </row>
    <row r="4" spans="1:12" x14ac:dyDescent="0.3">
      <c r="A4" s="67" t="s">
        <v>29</v>
      </c>
      <c r="B4" s="66"/>
      <c r="C4" s="66"/>
      <c r="D4" s="66"/>
      <c r="E4" s="66"/>
      <c r="F4" s="66"/>
      <c r="G4" s="66"/>
      <c r="H4" s="66"/>
      <c r="I4" s="66"/>
      <c r="J4" s="66"/>
      <c r="K4" s="66"/>
      <c r="L4" s="66"/>
    </row>
    <row r="5" spans="1:12" x14ac:dyDescent="0.3">
      <c r="A5" s="66"/>
      <c r="B5" s="66"/>
      <c r="C5" s="66"/>
      <c r="D5" s="66"/>
      <c r="E5" s="66"/>
      <c r="F5" s="66"/>
      <c r="G5" s="66"/>
      <c r="H5" s="66"/>
      <c r="I5" s="66"/>
      <c r="J5" s="66"/>
      <c r="K5" s="66"/>
      <c r="L5" s="66"/>
    </row>
    <row r="6" spans="1:12" x14ac:dyDescent="0.3">
      <c r="A6" s="66"/>
      <c r="B6" s="66"/>
      <c r="C6" s="66"/>
      <c r="D6" s="66"/>
      <c r="E6" s="66"/>
      <c r="F6" s="66"/>
      <c r="G6" s="66"/>
      <c r="H6" s="66"/>
      <c r="I6" s="66"/>
      <c r="J6" s="66"/>
      <c r="K6" s="66"/>
      <c r="L6" s="66"/>
    </row>
    <row r="7" spans="1:12" x14ac:dyDescent="0.3">
      <c r="A7" s="66"/>
      <c r="B7" s="66"/>
      <c r="C7" s="66"/>
      <c r="D7" s="66"/>
      <c r="E7" s="66"/>
      <c r="F7" s="66"/>
      <c r="G7" s="66"/>
      <c r="H7" s="66"/>
      <c r="I7" s="66"/>
      <c r="J7" s="66"/>
      <c r="K7" s="66"/>
      <c r="L7" s="66"/>
    </row>
    <row r="8" spans="1:12" x14ac:dyDescent="0.3">
      <c r="A8" s="66"/>
      <c r="B8" s="66"/>
      <c r="C8" s="66"/>
      <c r="D8" s="66"/>
      <c r="E8" s="66"/>
      <c r="F8" s="66"/>
      <c r="G8" s="66"/>
      <c r="H8" s="66"/>
      <c r="I8" s="66"/>
      <c r="J8" s="66"/>
      <c r="K8" s="66"/>
      <c r="L8" s="66"/>
    </row>
    <row r="9" spans="1:12" x14ac:dyDescent="0.3">
      <c r="A9" s="66"/>
      <c r="B9" s="66"/>
      <c r="C9" s="66"/>
      <c r="D9" s="66"/>
      <c r="E9" s="66"/>
      <c r="F9" s="66"/>
      <c r="G9" s="66"/>
      <c r="H9" s="66"/>
      <c r="I9" s="66"/>
      <c r="J9" s="66"/>
      <c r="K9" s="66"/>
      <c r="L9" s="66"/>
    </row>
    <row r="10" spans="1:12" x14ac:dyDescent="0.3">
      <c r="A10" s="68" t="s">
        <v>30</v>
      </c>
      <c r="B10" s="68"/>
      <c r="C10" s="68"/>
      <c r="D10" s="68"/>
      <c r="E10" s="68" t="s">
        <v>31</v>
      </c>
      <c r="F10" s="68"/>
      <c r="G10" s="68"/>
      <c r="H10" s="68"/>
      <c r="I10" s="68" t="s">
        <v>7</v>
      </c>
      <c r="J10" s="68"/>
      <c r="K10" s="68"/>
      <c r="L10" s="68"/>
    </row>
    <row r="11" spans="1:12" x14ac:dyDescent="0.3">
      <c r="A11" s="69"/>
      <c r="B11" s="70"/>
      <c r="C11" s="70"/>
      <c r="D11" s="70"/>
      <c r="E11" s="69" t="s">
        <v>33</v>
      </c>
      <c r="F11" s="70"/>
      <c r="G11" s="70"/>
      <c r="H11" s="70"/>
      <c r="I11" s="69" t="s">
        <v>32</v>
      </c>
      <c r="J11" s="70"/>
      <c r="K11" s="70"/>
      <c r="L11" s="70"/>
    </row>
    <row r="12" spans="1:12" x14ac:dyDescent="0.3">
      <c r="A12" s="70"/>
      <c r="B12" s="70"/>
      <c r="C12" s="70"/>
      <c r="D12" s="70"/>
      <c r="E12" s="70"/>
      <c r="F12" s="70"/>
      <c r="G12" s="70"/>
      <c r="H12" s="70"/>
      <c r="I12" s="70"/>
      <c r="J12" s="70"/>
      <c r="K12" s="70"/>
      <c r="L12" s="70"/>
    </row>
    <row r="13" spans="1:12" x14ac:dyDescent="0.3">
      <c r="A13" s="70"/>
      <c r="B13" s="70"/>
      <c r="C13" s="70"/>
      <c r="D13" s="70"/>
      <c r="E13" s="70"/>
      <c r="F13" s="70"/>
      <c r="G13" s="70"/>
      <c r="H13" s="70"/>
      <c r="I13" s="70"/>
      <c r="J13" s="70"/>
      <c r="K13" s="70"/>
      <c r="L13" s="70"/>
    </row>
    <row r="14" spans="1:12" x14ac:dyDescent="0.3">
      <c r="A14" s="70"/>
      <c r="B14" s="70"/>
      <c r="C14" s="70"/>
      <c r="D14" s="70"/>
      <c r="E14" s="70"/>
      <c r="F14" s="70"/>
      <c r="G14" s="70"/>
      <c r="H14" s="70"/>
      <c r="I14" s="70"/>
      <c r="J14" s="70"/>
      <c r="K14" s="70"/>
      <c r="L14" s="70"/>
    </row>
    <row r="15" spans="1:12" x14ac:dyDescent="0.3">
      <c r="A15" s="70"/>
      <c r="B15" s="70"/>
      <c r="C15" s="70"/>
      <c r="D15" s="70"/>
      <c r="E15" s="70"/>
      <c r="F15" s="70"/>
      <c r="G15" s="70"/>
      <c r="H15" s="70"/>
      <c r="I15" s="70"/>
      <c r="J15" s="70"/>
      <c r="K15" s="70"/>
      <c r="L15" s="70"/>
    </row>
    <row r="16" spans="1:12" x14ac:dyDescent="0.3">
      <c r="A16" s="70"/>
      <c r="B16" s="70"/>
      <c r="C16" s="70"/>
      <c r="D16" s="70"/>
      <c r="E16" s="70"/>
      <c r="F16" s="70"/>
      <c r="G16" s="70"/>
      <c r="H16" s="70"/>
      <c r="I16" s="70"/>
      <c r="J16" s="70"/>
      <c r="K16" s="70"/>
      <c r="L16" s="70"/>
    </row>
    <row r="17" spans="1:12" x14ac:dyDescent="0.3">
      <c r="A17" s="70"/>
      <c r="B17" s="70"/>
      <c r="C17" s="70"/>
      <c r="D17" s="70"/>
      <c r="E17" s="70"/>
      <c r="F17" s="70"/>
      <c r="G17" s="70"/>
      <c r="H17" s="70"/>
      <c r="I17" s="70"/>
      <c r="J17" s="70"/>
      <c r="K17" s="70"/>
      <c r="L17" s="70"/>
    </row>
    <row r="18" spans="1:12" x14ac:dyDescent="0.3">
      <c r="A18" s="70"/>
      <c r="B18" s="70"/>
      <c r="C18" s="70"/>
      <c r="D18" s="70"/>
      <c r="E18" s="70"/>
      <c r="F18" s="70"/>
      <c r="G18" s="70"/>
      <c r="H18" s="70"/>
      <c r="I18" s="70"/>
      <c r="J18" s="70"/>
      <c r="K18" s="70"/>
      <c r="L18" s="70"/>
    </row>
    <row r="19" spans="1:12" x14ac:dyDescent="0.3">
      <c r="A19" s="70"/>
      <c r="B19" s="70"/>
      <c r="C19" s="70"/>
      <c r="D19" s="70"/>
      <c r="E19" s="70"/>
      <c r="F19" s="70"/>
      <c r="G19" s="70"/>
      <c r="H19" s="70"/>
      <c r="I19" s="70"/>
      <c r="J19" s="70"/>
      <c r="K19" s="70"/>
      <c r="L19" s="70"/>
    </row>
    <row r="20" spans="1:12" x14ac:dyDescent="0.3">
      <c r="A20" s="47" t="s">
        <v>34</v>
      </c>
      <c r="B20" s="71" t="s">
        <v>13</v>
      </c>
      <c r="C20" s="71"/>
      <c r="D20" s="71"/>
      <c r="E20" s="47" t="s">
        <v>15</v>
      </c>
      <c r="F20" s="47" t="s">
        <v>14</v>
      </c>
      <c r="G20" s="47" t="s">
        <v>16</v>
      </c>
      <c r="H20" s="71" t="s">
        <v>18</v>
      </c>
      <c r="I20" s="71"/>
      <c r="J20" s="47" t="s">
        <v>5</v>
      </c>
      <c r="K20" s="47" t="s">
        <v>19</v>
      </c>
      <c r="L20" s="47" t="s">
        <v>20</v>
      </c>
    </row>
    <row r="21" spans="1:12" x14ac:dyDescent="0.3">
      <c r="A21" s="102"/>
      <c r="B21" s="96"/>
      <c r="C21" s="97"/>
      <c r="D21" s="98"/>
      <c r="E21" s="63"/>
      <c r="F21" s="102"/>
      <c r="G21" s="102"/>
      <c r="H21" s="103">
        <f>F21*G21</f>
        <v>0</v>
      </c>
      <c r="I21" s="104"/>
      <c r="J21" s="113">
        <f>H21*9%</f>
        <v>0</v>
      </c>
      <c r="K21" s="113">
        <f>H21*9%</f>
        <v>0</v>
      </c>
      <c r="L21" s="113">
        <f>H21+J21+K21</f>
        <v>0</v>
      </c>
    </row>
    <row r="22" spans="1:12" x14ac:dyDescent="0.3">
      <c r="A22" s="62"/>
      <c r="B22" s="99"/>
      <c r="C22" s="100"/>
      <c r="D22" s="101"/>
      <c r="E22" s="64"/>
      <c r="F22" s="62"/>
      <c r="G22" s="62"/>
      <c r="H22" s="60"/>
      <c r="I22" s="61"/>
      <c r="J22" s="59"/>
      <c r="K22" s="59"/>
      <c r="L22" s="59"/>
    </row>
    <row r="23" spans="1:12" x14ac:dyDescent="0.3">
      <c r="A23" s="62"/>
      <c r="B23" s="99"/>
      <c r="C23" s="83"/>
      <c r="D23" s="84"/>
      <c r="E23" s="63"/>
      <c r="F23" s="62"/>
      <c r="G23" s="62"/>
      <c r="H23" s="60">
        <f>F23*G23</f>
        <v>0</v>
      </c>
      <c r="I23" s="61"/>
      <c r="J23" s="59">
        <f>H23*9%</f>
        <v>0</v>
      </c>
      <c r="K23" s="59">
        <f>H23*9%</f>
        <v>0</v>
      </c>
      <c r="L23" s="59">
        <f>H23+J23+K23</f>
        <v>0</v>
      </c>
    </row>
    <row r="24" spans="1:12" x14ac:dyDescent="0.3">
      <c r="A24" s="62"/>
      <c r="B24" s="82"/>
      <c r="C24" s="83"/>
      <c r="D24" s="84"/>
      <c r="E24" s="64"/>
      <c r="F24" s="62"/>
      <c r="G24" s="62"/>
      <c r="H24" s="60"/>
      <c r="I24" s="61"/>
      <c r="J24" s="59"/>
      <c r="K24" s="59"/>
      <c r="L24" s="59"/>
    </row>
    <row r="25" spans="1:12" x14ac:dyDescent="0.3">
      <c r="A25" s="62"/>
      <c r="B25" s="99"/>
      <c r="C25" s="83"/>
      <c r="D25" s="84"/>
      <c r="E25" s="63"/>
      <c r="F25" s="62"/>
      <c r="G25" s="62"/>
      <c r="H25" s="60">
        <f>F25*G25</f>
        <v>0</v>
      </c>
      <c r="I25" s="61"/>
      <c r="J25" s="59">
        <f>H25*9%</f>
        <v>0</v>
      </c>
      <c r="K25" s="59">
        <f>H25*9%</f>
        <v>0</v>
      </c>
      <c r="L25" s="59">
        <f>H25+J25+K25</f>
        <v>0</v>
      </c>
    </row>
    <row r="26" spans="1:12" x14ac:dyDescent="0.3">
      <c r="A26" s="62"/>
      <c r="B26" s="82"/>
      <c r="C26" s="83"/>
      <c r="D26" s="84"/>
      <c r="E26" s="64"/>
      <c r="F26" s="62"/>
      <c r="G26" s="62"/>
      <c r="H26" s="60"/>
      <c r="I26" s="61"/>
      <c r="J26" s="59"/>
      <c r="K26" s="59"/>
      <c r="L26" s="59"/>
    </row>
    <row r="27" spans="1:12" x14ac:dyDescent="0.3">
      <c r="A27" s="62"/>
      <c r="B27" s="99"/>
      <c r="C27" s="83"/>
      <c r="D27" s="84"/>
      <c r="E27" s="63"/>
      <c r="F27" s="62"/>
      <c r="G27" s="62"/>
      <c r="H27" s="60">
        <f>F27*G27</f>
        <v>0</v>
      </c>
      <c r="I27" s="61"/>
      <c r="J27" s="59">
        <f>H27*9%</f>
        <v>0</v>
      </c>
      <c r="K27" s="59">
        <f>H27*9%</f>
        <v>0</v>
      </c>
      <c r="L27" s="59">
        <f>H27+J27+K27</f>
        <v>0</v>
      </c>
    </row>
    <row r="28" spans="1:12" x14ac:dyDescent="0.3">
      <c r="A28" s="62"/>
      <c r="B28" s="82"/>
      <c r="C28" s="83"/>
      <c r="D28" s="84"/>
      <c r="E28" s="64"/>
      <c r="F28" s="62"/>
      <c r="G28" s="62"/>
      <c r="H28" s="60"/>
      <c r="I28" s="61"/>
      <c r="J28" s="59"/>
      <c r="K28" s="59"/>
      <c r="L28" s="59"/>
    </row>
    <row r="29" spans="1:12" x14ac:dyDescent="0.3">
      <c r="A29" s="62"/>
      <c r="B29" s="82"/>
      <c r="C29" s="83"/>
      <c r="D29" s="84"/>
      <c r="E29" s="62"/>
      <c r="F29" s="62"/>
      <c r="G29" s="62"/>
      <c r="H29" s="60">
        <f>F29*G29</f>
        <v>0</v>
      </c>
      <c r="I29" s="61"/>
      <c r="J29" s="59">
        <f>H29*9%</f>
        <v>0</v>
      </c>
      <c r="K29" s="59">
        <f>H29*9%</f>
        <v>0</v>
      </c>
      <c r="L29" s="59">
        <f>H29+J29+K29</f>
        <v>0</v>
      </c>
    </row>
    <row r="30" spans="1:12" x14ac:dyDescent="0.3">
      <c r="A30" s="62"/>
      <c r="B30" s="82"/>
      <c r="C30" s="83"/>
      <c r="D30" s="84"/>
      <c r="E30" s="62"/>
      <c r="F30" s="62"/>
      <c r="G30" s="62"/>
      <c r="H30" s="60"/>
      <c r="I30" s="61"/>
      <c r="J30" s="59"/>
      <c r="K30" s="59"/>
      <c r="L30" s="59"/>
    </row>
    <row r="31" spans="1:12" x14ac:dyDescent="0.3">
      <c r="A31" s="62"/>
      <c r="B31" s="82"/>
      <c r="C31" s="83"/>
      <c r="D31" s="84"/>
      <c r="E31" s="62"/>
      <c r="F31" s="62"/>
      <c r="G31" s="62"/>
      <c r="H31" s="60">
        <f t="shared" ref="H31:H47" si="0">F31*G31</f>
        <v>0</v>
      </c>
      <c r="I31" s="61"/>
      <c r="J31" s="59">
        <f t="shared" ref="J31:J47" si="1">H31*9%</f>
        <v>0</v>
      </c>
      <c r="K31" s="59">
        <f t="shared" ref="K31:K47" si="2">H31*9%</f>
        <v>0</v>
      </c>
      <c r="L31" s="59">
        <f t="shared" ref="L31:L47" si="3">H31+J31+K31</f>
        <v>0</v>
      </c>
    </row>
    <row r="32" spans="1:12" x14ac:dyDescent="0.3">
      <c r="A32" s="62"/>
      <c r="B32" s="82"/>
      <c r="C32" s="83"/>
      <c r="D32" s="84"/>
      <c r="E32" s="62"/>
      <c r="F32" s="62"/>
      <c r="G32" s="62"/>
      <c r="H32" s="60"/>
      <c r="I32" s="61"/>
      <c r="J32" s="59"/>
      <c r="K32" s="59"/>
      <c r="L32" s="59"/>
    </row>
    <row r="33" spans="1:12" x14ac:dyDescent="0.3">
      <c r="A33" s="62"/>
      <c r="B33" s="82"/>
      <c r="C33" s="83"/>
      <c r="D33" s="84"/>
      <c r="E33" s="62"/>
      <c r="F33" s="62"/>
      <c r="G33" s="62"/>
      <c r="H33" s="60">
        <f t="shared" si="0"/>
        <v>0</v>
      </c>
      <c r="I33" s="61"/>
      <c r="J33" s="59">
        <f t="shared" si="1"/>
        <v>0</v>
      </c>
      <c r="K33" s="59">
        <f t="shared" si="2"/>
        <v>0</v>
      </c>
      <c r="L33" s="59">
        <f t="shared" si="3"/>
        <v>0</v>
      </c>
    </row>
    <row r="34" spans="1:12" x14ac:dyDescent="0.3">
      <c r="A34" s="62"/>
      <c r="B34" s="82"/>
      <c r="C34" s="83"/>
      <c r="D34" s="84"/>
      <c r="E34" s="62"/>
      <c r="F34" s="62"/>
      <c r="G34" s="62"/>
      <c r="H34" s="60"/>
      <c r="I34" s="61"/>
      <c r="J34" s="59"/>
      <c r="K34" s="59"/>
      <c r="L34" s="59"/>
    </row>
    <row r="35" spans="1:12" x14ac:dyDescent="0.3">
      <c r="A35" s="62"/>
      <c r="B35" s="82"/>
      <c r="C35" s="83"/>
      <c r="D35" s="84"/>
      <c r="E35" s="62"/>
      <c r="F35" s="62"/>
      <c r="G35" s="62"/>
      <c r="H35" s="60">
        <f t="shared" si="0"/>
        <v>0</v>
      </c>
      <c r="I35" s="61"/>
      <c r="J35" s="59">
        <f t="shared" si="1"/>
        <v>0</v>
      </c>
      <c r="K35" s="59">
        <f t="shared" si="2"/>
        <v>0</v>
      </c>
      <c r="L35" s="59">
        <f t="shared" si="3"/>
        <v>0</v>
      </c>
    </row>
    <row r="36" spans="1:12" x14ac:dyDescent="0.3">
      <c r="A36" s="62"/>
      <c r="B36" s="82"/>
      <c r="C36" s="83"/>
      <c r="D36" s="84"/>
      <c r="E36" s="62"/>
      <c r="F36" s="62"/>
      <c r="G36" s="62"/>
      <c r="H36" s="60"/>
      <c r="I36" s="61"/>
      <c r="J36" s="59"/>
      <c r="K36" s="59"/>
      <c r="L36" s="59"/>
    </row>
    <row r="37" spans="1:12" x14ac:dyDescent="0.3">
      <c r="A37" s="62"/>
      <c r="B37" s="114"/>
      <c r="C37" s="115"/>
      <c r="D37" s="116"/>
      <c r="E37" s="62"/>
      <c r="F37" s="62"/>
      <c r="G37" s="62"/>
      <c r="H37" s="60">
        <f t="shared" si="0"/>
        <v>0</v>
      </c>
      <c r="I37" s="61"/>
      <c r="J37" s="59">
        <f t="shared" si="1"/>
        <v>0</v>
      </c>
      <c r="K37" s="59">
        <f t="shared" si="2"/>
        <v>0</v>
      </c>
      <c r="L37" s="59">
        <f>H37+J37+K37</f>
        <v>0</v>
      </c>
    </row>
    <row r="38" spans="1:12" x14ac:dyDescent="0.3">
      <c r="A38" s="62"/>
      <c r="B38" s="114"/>
      <c r="C38" s="115"/>
      <c r="D38" s="116"/>
      <c r="E38" s="62"/>
      <c r="F38" s="62"/>
      <c r="G38" s="62"/>
      <c r="H38" s="60"/>
      <c r="I38" s="61"/>
      <c r="J38" s="59"/>
      <c r="K38" s="59"/>
      <c r="L38" s="59"/>
    </row>
    <row r="39" spans="1:12" x14ac:dyDescent="0.3">
      <c r="A39" s="62"/>
      <c r="B39" s="82"/>
      <c r="C39" s="83"/>
      <c r="D39" s="84"/>
      <c r="E39" s="62"/>
      <c r="F39" s="62"/>
      <c r="G39" s="62"/>
      <c r="H39" s="60">
        <f t="shared" si="0"/>
        <v>0</v>
      </c>
      <c r="I39" s="61"/>
      <c r="J39" s="59">
        <f t="shared" si="1"/>
        <v>0</v>
      </c>
      <c r="K39" s="59">
        <f t="shared" si="2"/>
        <v>0</v>
      </c>
      <c r="L39" s="59">
        <f t="shared" si="3"/>
        <v>0</v>
      </c>
    </row>
    <row r="40" spans="1:12" x14ac:dyDescent="0.3">
      <c r="A40" s="62"/>
      <c r="B40" s="82"/>
      <c r="C40" s="83"/>
      <c r="D40" s="84"/>
      <c r="E40" s="62"/>
      <c r="F40" s="62"/>
      <c r="G40" s="62"/>
      <c r="H40" s="60"/>
      <c r="I40" s="61"/>
      <c r="J40" s="59"/>
      <c r="K40" s="59"/>
      <c r="L40" s="59"/>
    </row>
    <row r="41" spans="1:12" x14ac:dyDescent="0.3">
      <c r="A41" s="62"/>
      <c r="B41" s="82"/>
      <c r="C41" s="83"/>
      <c r="D41" s="84"/>
      <c r="E41" s="62"/>
      <c r="F41" s="62"/>
      <c r="G41" s="62"/>
      <c r="H41" s="60">
        <f t="shared" si="0"/>
        <v>0</v>
      </c>
      <c r="I41" s="61"/>
      <c r="J41" s="59">
        <f t="shared" si="1"/>
        <v>0</v>
      </c>
      <c r="K41" s="59">
        <f t="shared" si="2"/>
        <v>0</v>
      </c>
      <c r="L41" s="59">
        <f t="shared" si="3"/>
        <v>0</v>
      </c>
    </row>
    <row r="42" spans="1:12" x14ac:dyDescent="0.3">
      <c r="A42" s="62"/>
      <c r="B42" s="82"/>
      <c r="C42" s="83"/>
      <c r="D42" s="84"/>
      <c r="E42" s="62"/>
      <c r="F42" s="62"/>
      <c r="G42" s="62"/>
      <c r="H42" s="60"/>
      <c r="I42" s="61"/>
      <c r="J42" s="59"/>
      <c r="K42" s="59"/>
      <c r="L42" s="59"/>
    </row>
    <row r="43" spans="1:12" x14ac:dyDescent="0.3">
      <c r="A43" s="62"/>
      <c r="B43" s="82"/>
      <c r="C43" s="83"/>
      <c r="D43" s="84"/>
      <c r="E43" s="62"/>
      <c r="F43" s="62"/>
      <c r="G43" s="62"/>
      <c r="H43" s="60">
        <f t="shared" si="0"/>
        <v>0</v>
      </c>
      <c r="I43" s="61"/>
      <c r="J43" s="59">
        <f t="shared" si="1"/>
        <v>0</v>
      </c>
      <c r="K43" s="59">
        <f t="shared" si="2"/>
        <v>0</v>
      </c>
      <c r="L43" s="59">
        <f t="shared" si="3"/>
        <v>0</v>
      </c>
    </row>
    <row r="44" spans="1:12" x14ac:dyDescent="0.3">
      <c r="A44" s="62"/>
      <c r="B44" s="82"/>
      <c r="C44" s="83"/>
      <c r="D44" s="84"/>
      <c r="E44" s="62"/>
      <c r="F44" s="62"/>
      <c r="G44" s="62"/>
      <c r="H44" s="60"/>
      <c r="I44" s="61"/>
      <c r="J44" s="59"/>
      <c r="K44" s="59"/>
      <c r="L44" s="59"/>
    </row>
    <row r="45" spans="1:12" x14ac:dyDescent="0.3">
      <c r="A45" s="62"/>
      <c r="B45" s="82"/>
      <c r="C45" s="83"/>
      <c r="D45" s="84"/>
      <c r="E45" s="62"/>
      <c r="F45" s="62"/>
      <c r="G45" s="62"/>
      <c r="H45" s="60">
        <f t="shared" si="0"/>
        <v>0</v>
      </c>
      <c r="I45" s="61"/>
      <c r="J45" s="59">
        <f t="shared" si="1"/>
        <v>0</v>
      </c>
      <c r="K45" s="59">
        <f t="shared" si="2"/>
        <v>0</v>
      </c>
      <c r="L45" s="59">
        <f t="shared" si="3"/>
        <v>0</v>
      </c>
    </row>
    <row r="46" spans="1:12" x14ac:dyDescent="0.3">
      <c r="A46" s="62"/>
      <c r="B46" s="82"/>
      <c r="C46" s="83"/>
      <c r="D46" s="84"/>
      <c r="E46" s="62"/>
      <c r="F46" s="62"/>
      <c r="G46" s="62"/>
      <c r="H46" s="60"/>
      <c r="I46" s="61"/>
      <c r="J46" s="59"/>
      <c r="K46" s="59"/>
      <c r="L46" s="59"/>
    </row>
    <row r="47" spans="1:12" x14ac:dyDescent="0.3">
      <c r="A47" s="58"/>
      <c r="B47" s="79"/>
      <c r="C47" s="80"/>
      <c r="D47" s="81"/>
      <c r="E47" s="56"/>
      <c r="F47" s="56"/>
      <c r="G47" s="56"/>
      <c r="H47" s="111">
        <f t="shared" si="0"/>
        <v>0</v>
      </c>
      <c r="I47" s="112"/>
      <c r="J47" s="57">
        <f t="shared" si="1"/>
        <v>0</v>
      </c>
      <c r="K47" s="57">
        <f t="shared" si="2"/>
        <v>0</v>
      </c>
      <c r="L47" s="57">
        <f t="shared" si="3"/>
        <v>0</v>
      </c>
    </row>
    <row r="48" spans="1:12" x14ac:dyDescent="0.3">
      <c r="A48" s="53"/>
      <c r="B48" s="71" t="s">
        <v>23</v>
      </c>
      <c r="C48" s="71"/>
      <c r="D48" s="71"/>
      <c r="E48" s="47"/>
      <c r="F48" s="47"/>
      <c r="G48" s="47"/>
      <c r="H48" s="71">
        <f>SUM(H21:I47)</f>
        <v>0</v>
      </c>
      <c r="I48" s="71"/>
      <c r="J48" s="48">
        <f>SUM(J21:J47)</f>
        <v>0</v>
      </c>
      <c r="K48" s="48">
        <f>SUM(K21:K47)</f>
        <v>0</v>
      </c>
      <c r="L48" s="54">
        <f>SUM(L21:L47)</f>
        <v>0</v>
      </c>
    </row>
    <row r="49" spans="1:12" x14ac:dyDescent="0.3">
      <c r="A49" s="55" t="s">
        <v>35</v>
      </c>
      <c r="B49" s="68" t="s">
        <v>17</v>
      </c>
      <c r="C49" s="68"/>
      <c r="D49" s="49" t="s">
        <v>25</v>
      </c>
      <c r="E49" s="49" t="s">
        <v>26</v>
      </c>
      <c r="F49" s="50" t="s">
        <v>36</v>
      </c>
      <c r="G49" s="94">
        <f>L48</f>
        <v>0</v>
      </c>
      <c r="H49" s="94"/>
      <c r="I49" s="94"/>
      <c r="J49" s="94"/>
      <c r="K49" s="94"/>
      <c r="L49" s="95"/>
    </row>
    <row r="50" spans="1:12" x14ac:dyDescent="0.3">
      <c r="A50" s="53" t="s">
        <v>5</v>
      </c>
      <c r="B50" s="72">
        <f>H48</f>
        <v>0</v>
      </c>
      <c r="C50" s="72"/>
      <c r="D50" s="51">
        <v>0.09</v>
      </c>
      <c r="E50" s="52">
        <f>J48</f>
        <v>0</v>
      </c>
      <c r="F50" s="50" t="s">
        <v>27</v>
      </c>
      <c r="G50" s="94"/>
      <c r="H50" s="94"/>
      <c r="I50" s="94"/>
      <c r="J50" s="94"/>
      <c r="K50" s="94"/>
      <c r="L50" s="95"/>
    </row>
    <row r="51" spans="1:12" x14ac:dyDescent="0.3">
      <c r="A51" s="53" t="s">
        <v>19</v>
      </c>
      <c r="B51" s="72">
        <f>H48</f>
        <v>0</v>
      </c>
      <c r="C51" s="72"/>
      <c r="D51" s="51">
        <v>0.09</v>
      </c>
      <c r="E51" s="52">
        <f>K48</f>
        <v>0</v>
      </c>
      <c r="F51" s="50" t="s">
        <v>23</v>
      </c>
      <c r="G51" s="94"/>
      <c r="H51" s="94"/>
      <c r="I51" s="94"/>
      <c r="J51" s="94"/>
      <c r="K51" s="94"/>
      <c r="L51" s="95"/>
    </row>
    <row r="52" spans="1:12" x14ac:dyDescent="0.3">
      <c r="A52" s="105" t="s">
        <v>37</v>
      </c>
      <c r="B52" s="66"/>
      <c r="C52" s="66"/>
      <c r="D52" s="66"/>
      <c r="E52" s="66"/>
      <c r="F52" s="106"/>
      <c r="G52" s="85" t="s">
        <v>39</v>
      </c>
      <c r="H52" s="86"/>
      <c r="I52" s="86"/>
      <c r="J52" s="86"/>
      <c r="K52" s="86"/>
      <c r="L52" s="87"/>
    </row>
    <row r="53" spans="1:12" x14ac:dyDescent="0.3">
      <c r="A53" s="107"/>
      <c r="B53" s="66"/>
      <c r="C53" s="66"/>
      <c r="D53" s="66"/>
      <c r="E53" s="66"/>
      <c r="F53" s="106"/>
      <c r="G53" s="88"/>
      <c r="H53" s="89"/>
      <c r="I53" s="89"/>
      <c r="J53" s="89"/>
      <c r="K53" s="89"/>
      <c r="L53" s="90"/>
    </row>
    <row r="54" spans="1:12" ht="13.5" thickBot="1" x14ac:dyDescent="0.35">
      <c r="A54" s="108"/>
      <c r="B54" s="109"/>
      <c r="C54" s="109"/>
      <c r="D54" s="109"/>
      <c r="E54" s="109"/>
      <c r="F54" s="110"/>
      <c r="G54" s="88"/>
      <c r="H54" s="89"/>
      <c r="I54" s="89"/>
      <c r="J54" s="89"/>
      <c r="K54" s="89"/>
      <c r="L54" s="90"/>
    </row>
    <row r="55" spans="1:12" x14ac:dyDescent="0.3">
      <c r="A55" s="73" t="s">
        <v>40</v>
      </c>
      <c r="B55" s="74"/>
      <c r="C55" s="74"/>
      <c r="D55" s="74"/>
      <c r="E55" s="74"/>
      <c r="F55" s="75"/>
      <c r="G55" s="88"/>
      <c r="H55" s="89"/>
      <c r="I55" s="89"/>
      <c r="J55" s="89"/>
      <c r="K55" s="89"/>
      <c r="L55" s="90"/>
    </row>
    <row r="56" spans="1:12" x14ac:dyDescent="0.3">
      <c r="A56" s="76"/>
      <c r="B56" s="77"/>
      <c r="C56" s="77"/>
      <c r="D56" s="77"/>
      <c r="E56" s="77"/>
      <c r="F56" s="78"/>
      <c r="G56" s="88"/>
      <c r="H56" s="89"/>
      <c r="I56" s="89"/>
      <c r="J56" s="89"/>
      <c r="K56" s="89"/>
      <c r="L56" s="90"/>
    </row>
    <row r="57" spans="1:12" x14ac:dyDescent="0.3">
      <c r="A57" s="76"/>
      <c r="B57" s="77"/>
      <c r="C57" s="77"/>
      <c r="D57" s="77"/>
      <c r="E57" s="77"/>
      <c r="F57" s="78"/>
      <c r="G57" s="88"/>
      <c r="H57" s="89"/>
      <c r="I57" s="89"/>
      <c r="J57" s="89"/>
      <c r="K57" s="89"/>
      <c r="L57" s="90"/>
    </row>
    <row r="58" spans="1:12" x14ac:dyDescent="0.3">
      <c r="A58" s="76"/>
      <c r="B58" s="77"/>
      <c r="C58" s="77"/>
      <c r="D58" s="77"/>
      <c r="E58" s="77"/>
      <c r="F58" s="78"/>
      <c r="G58" s="88"/>
      <c r="H58" s="89"/>
      <c r="I58" s="89"/>
      <c r="J58" s="89"/>
      <c r="K58" s="89"/>
      <c r="L58" s="90"/>
    </row>
    <row r="59" spans="1:12" x14ac:dyDescent="0.3">
      <c r="A59" s="76"/>
      <c r="B59" s="77"/>
      <c r="C59" s="77"/>
      <c r="D59" s="77"/>
      <c r="E59" s="77"/>
      <c r="F59" s="78"/>
      <c r="G59" s="88"/>
      <c r="H59" s="89"/>
      <c r="I59" s="89"/>
      <c r="J59" s="89"/>
      <c r="K59" s="89"/>
      <c r="L59" s="90"/>
    </row>
    <row r="60" spans="1:12" x14ac:dyDescent="0.3">
      <c r="A60" s="79"/>
      <c r="B60" s="80"/>
      <c r="C60" s="80"/>
      <c r="D60" s="80"/>
      <c r="E60" s="80"/>
      <c r="F60" s="81"/>
      <c r="G60" s="91"/>
      <c r="H60" s="92"/>
      <c r="I60" s="92"/>
      <c r="J60" s="92"/>
      <c r="K60" s="92"/>
      <c r="L60" s="93"/>
    </row>
  </sheetData>
  <mergeCells count="139">
    <mergeCell ref="J21:J22"/>
    <mergeCell ref="K21:K22"/>
    <mergeCell ref="L21:L22"/>
    <mergeCell ref="E23:E24"/>
    <mergeCell ref="F23:F24"/>
    <mergeCell ref="A23:A24"/>
    <mergeCell ref="A25:A26"/>
    <mergeCell ref="A27:A28"/>
    <mergeCell ref="A29:A30"/>
    <mergeCell ref="G23:G24"/>
    <mergeCell ref="H23:I24"/>
    <mergeCell ref="B27:D28"/>
    <mergeCell ref="B29:D30"/>
    <mergeCell ref="B25:D26"/>
    <mergeCell ref="F21:F22"/>
    <mergeCell ref="G21:G22"/>
    <mergeCell ref="H21:I22"/>
    <mergeCell ref="A52:F52"/>
    <mergeCell ref="A53:F54"/>
    <mergeCell ref="H47:I47"/>
    <mergeCell ref="H48:I48"/>
    <mergeCell ref="B49:C49"/>
    <mergeCell ref="A35:A36"/>
    <mergeCell ref="A31:A32"/>
    <mergeCell ref="A33:A34"/>
    <mergeCell ref="A37:A38"/>
    <mergeCell ref="A39:A40"/>
    <mergeCell ref="A41:A42"/>
    <mergeCell ref="A43:A44"/>
    <mergeCell ref="A45:A46"/>
    <mergeCell ref="B41:D42"/>
    <mergeCell ref="B43:D44"/>
    <mergeCell ref="B45:D46"/>
    <mergeCell ref="B31:D32"/>
    <mergeCell ref="B33:D34"/>
    <mergeCell ref="B35:D36"/>
    <mergeCell ref="B37:D38"/>
    <mergeCell ref="B48:D48"/>
    <mergeCell ref="B50:C50"/>
    <mergeCell ref="B51:C51"/>
    <mergeCell ref="A55:F60"/>
    <mergeCell ref="B47:D47"/>
    <mergeCell ref="B39:D40"/>
    <mergeCell ref="E45:E46"/>
    <mergeCell ref="F45:F46"/>
    <mergeCell ref="G45:G46"/>
    <mergeCell ref="F43:F44"/>
    <mergeCell ref="G43:G44"/>
    <mergeCell ref="G52:L60"/>
    <mergeCell ref="G49:L51"/>
    <mergeCell ref="A1:L3"/>
    <mergeCell ref="J23:J24"/>
    <mergeCell ref="K23:K24"/>
    <mergeCell ref="L23:L24"/>
    <mergeCell ref="E25:E26"/>
    <mergeCell ref="F25:F26"/>
    <mergeCell ref="G25:G26"/>
    <mergeCell ref="H25:I26"/>
    <mergeCell ref="J25:J26"/>
    <mergeCell ref="K25:K26"/>
    <mergeCell ref="L25:L26"/>
    <mergeCell ref="A4:L9"/>
    <mergeCell ref="A10:D10"/>
    <mergeCell ref="E10:H10"/>
    <mergeCell ref="I10:L10"/>
    <mergeCell ref="A11:D19"/>
    <mergeCell ref="E11:H19"/>
    <mergeCell ref="H20:I20"/>
    <mergeCell ref="B20:D20"/>
    <mergeCell ref="I11:L19"/>
    <mergeCell ref="B21:D22"/>
    <mergeCell ref="B23:D24"/>
    <mergeCell ref="A21:A22"/>
    <mergeCell ref="E21:E22"/>
    <mergeCell ref="E35:E36"/>
    <mergeCell ref="E37:E38"/>
    <mergeCell ref="E39:E40"/>
    <mergeCell ref="E41:E42"/>
    <mergeCell ref="E43:E44"/>
    <mergeCell ref="L27:L28"/>
    <mergeCell ref="K27:K28"/>
    <mergeCell ref="E29:E30"/>
    <mergeCell ref="E31:E32"/>
    <mergeCell ref="E33:E34"/>
    <mergeCell ref="J31:J32"/>
    <mergeCell ref="K31:K32"/>
    <mergeCell ref="L31:L32"/>
    <mergeCell ref="J33:J34"/>
    <mergeCell ref="K33:K34"/>
    <mergeCell ref="L33:L34"/>
    <mergeCell ref="E27:E28"/>
    <mergeCell ref="F27:F28"/>
    <mergeCell ref="G27:G28"/>
    <mergeCell ref="H27:I28"/>
    <mergeCell ref="J27:J28"/>
    <mergeCell ref="J45:J46"/>
    <mergeCell ref="H45:I46"/>
    <mergeCell ref="K45:K46"/>
    <mergeCell ref="L45:L46"/>
    <mergeCell ref="F29:F30"/>
    <mergeCell ref="G29:G30"/>
    <mergeCell ref="J29:J30"/>
    <mergeCell ref="K29:K30"/>
    <mergeCell ref="L29:L30"/>
    <mergeCell ref="H29:I30"/>
    <mergeCell ref="F31:F32"/>
    <mergeCell ref="F33:F34"/>
    <mergeCell ref="F35:F36"/>
    <mergeCell ref="F37:F38"/>
    <mergeCell ref="F39:F40"/>
    <mergeCell ref="F41:F42"/>
    <mergeCell ref="J43:J44"/>
    <mergeCell ref="H43:I44"/>
    <mergeCell ref="K43:K44"/>
    <mergeCell ref="L43:L44"/>
    <mergeCell ref="G31:G32"/>
    <mergeCell ref="G33:G34"/>
    <mergeCell ref="G35:G36"/>
    <mergeCell ref="G37:G38"/>
    <mergeCell ref="G39:G40"/>
    <mergeCell ref="G41:G42"/>
    <mergeCell ref="H31:I32"/>
    <mergeCell ref="H33:I34"/>
    <mergeCell ref="H35:I36"/>
    <mergeCell ref="H37:I38"/>
    <mergeCell ref="H39:I40"/>
    <mergeCell ref="H41:I42"/>
    <mergeCell ref="J39:J40"/>
    <mergeCell ref="J41:J42"/>
    <mergeCell ref="K41:K42"/>
    <mergeCell ref="L41:L42"/>
    <mergeCell ref="L39:L40"/>
    <mergeCell ref="K39:K40"/>
    <mergeCell ref="J35:J36"/>
    <mergeCell ref="K35:K36"/>
    <mergeCell ref="L35:L36"/>
    <mergeCell ref="J37:J38"/>
    <mergeCell ref="K37:K38"/>
    <mergeCell ref="L37:L38"/>
  </mergeCells>
  <pageMargins left="0.25" right="0.25" top="0.75" bottom="0.75" header="0.3" footer="0.3"/>
  <pageSetup scale="8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Table 1</vt:lpstr>
      <vt:lpstr>Sheet3</vt:lpstr>
      <vt:lpstr>Sheet1</vt:lpstr>
      <vt:lpstr>Sheet3!Print_Area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Mohan Babu M</cp:lastModifiedBy>
  <cp:lastPrinted>2026-10-04T04:43:24Z</cp:lastPrinted>
  <dcterms:created xsi:type="dcterms:W3CDTF">2026-01-31T07:43:40Z</dcterms:created>
  <dcterms:modified xsi:type="dcterms:W3CDTF">2026-10-04T11:21:59Z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2026-01-22T00:00:00Z</vt:filetime>
  </property>
  <property fmtid="{D5CDD505-2E9C-101B-9397-08002B2CF9AE}" pid="3" name="Creator">
    <vt:lpwstr>Microsoft® Excel® LTSC</vt:lpwstr>
  </property>
  <property fmtid="{D5CDD505-2E9C-101B-9397-08002B2CF9AE}" pid="4" name="LastSaved">
    <vt:filetime>2026-01-31T00:00:00Z</vt:filetime>
  </property>
  <property fmtid="{D5CDD505-2E9C-101B-9397-08002B2CF9AE}" pid="5" name="Producer">
    <vt:lpwstr>Microsoft® Excel® LTSC</vt:lpwstr>
  </property>
</Properties>
</file>